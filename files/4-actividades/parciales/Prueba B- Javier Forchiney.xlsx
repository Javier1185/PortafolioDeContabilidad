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1400f3b83139dda/Escritorio/Contabilidad/"/>
    </mc:Choice>
  </mc:AlternateContent>
  <xr:revisionPtr revIDLastSave="0" documentId="8_{626299BA-63D6-4E39-BF50-3ADAF897ED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ARIO" sheetId="1" r:id="rId1"/>
    <sheet name="MAYOR" sheetId="2" r:id="rId2"/>
    <sheet name="BALANCE" sheetId="3" r:id="rId3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5" i="1" l="1"/>
  <c r="I15" i="1"/>
  <c r="I23" i="1"/>
  <c r="M49" i="1"/>
  <c r="Q6" i="1"/>
  <c r="R20" i="1"/>
  <c r="I22" i="1"/>
  <c r="I49" i="1"/>
  <c r="I34" i="1"/>
  <c r="N20" i="1"/>
  <c r="V34" i="1"/>
  <c r="Q20" i="1"/>
  <c r="I21" i="1"/>
  <c r="Q34" i="1"/>
  <c r="I20" i="1"/>
  <c r="M34" i="1"/>
  <c r="V20" i="1"/>
  <c r="R6" i="1"/>
  <c r="J11" i="1"/>
  <c r="J10" i="1"/>
  <c r="I8" i="1"/>
  <c r="J9" i="1"/>
  <c r="J8" i="1"/>
  <c r="I7" i="1"/>
  <c r="J7" i="1"/>
  <c r="J6" i="1"/>
  <c r="F41" i="1"/>
  <c r="E40" i="1"/>
  <c r="F34" i="1"/>
  <c r="E33" i="1"/>
  <c r="F31" i="1"/>
  <c r="E30" i="1"/>
  <c r="E22" i="1"/>
  <c r="E21" i="1"/>
  <c r="G21" i="1"/>
  <c r="F24" i="1"/>
  <c r="F19" i="1"/>
  <c r="E18" i="1"/>
  <c r="F15" i="1"/>
  <c r="E14" i="1"/>
  <c r="V57" i="1" l="1"/>
  <c r="U57" i="1"/>
  <c r="V42" i="1"/>
  <c r="U42" i="1"/>
  <c r="V28" i="1"/>
  <c r="U28" i="1"/>
  <c r="R57" i="1"/>
  <c r="Q57" i="1"/>
  <c r="N57" i="1"/>
  <c r="M57" i="1"/>
  <c r="J57" i="1"/>
  <c r="I57" i="1"/>
  <c r="R42" i="1"/>
  <c r="Q42" i="1"/>
  <c r="N42" i="1"/>
  <c r="M42" i="1"/>
  <c r="J42" i="1"/>
  <c r="I42" i="1"/>
  <c r="R28" i="1"/>
  <c r="Q28" i="1"/>
  <c r="N28" i="1"/>
  <c r="M28" i="1"/>
  <c r="J28" i="1"/>
  <c r="I28" i="1"/>
  <c r="R14" i="1"/>
  <c r="Q14" i="1"/>
  <c r="N14" i="1"/>
  <c r="M14" i="1"/>
  <c r="J14" i="1"/>
  <c r="I14" i="1"/>
  <c r="D21" i="3"/>
  <c r="B21" i="3" l="1"/>
</calcChain>
</file>

<file path=xl/sharedStrings.xml><?xml version="1.0" encoding="utf-8"?>
<sst xmlns="http://schemas.openxmlformats.org/spreadsheetml/2006/main" count="280" uniqueCount="81">
  <si>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</si>
  <si>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</si>
  <si>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</si>
  <si>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</si>
  <si>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</si>
  <si>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</si>
  <si>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</si>
  <si>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</si>
  <si>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</si>
  <si>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</si>
  <si>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</si>
  <si>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</si>
  <si>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</si>
  <si>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</si>
  <si>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</si>
  <si>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</si>
  <si>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CUENTAS POR PAGAR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</si>
  <si>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</si>
  <si>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</si>
  <si>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</si>
  <si>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</si>
  <si>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</si>
  <si>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</si>
  <si>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</si>
  <si>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</si>
  <si>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</si>
  <si>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</si>
  <si>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</si>
  <si>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Cuenta</t>
  </si>
  <si>
    <t>Banco</t>
  </si>
  <si>
    <t>Caja Menuda</t>
  </si>
  <si>
    <t>Gastos - ITBMS</t>
  </si>
  <si>
    <t>Gastos - Salario</t>
  </si>
  <si>
    <t>Febrero</t>
  </si>
  <si>
    <t xml:space="preserve">     Capital</t>
  </si>
  <si>
    <t>Se hizo un deeposito al banco Scotiabank</t>
  </si>
  <si>
    <t>Caja menuda</t>
  </si>
  <si>
    <t xml:space="preserve">    Banco</t>
  </si>
  <si>
    <t>Se establecio la caja menuda mediante el cheque N° 2201</t>
  </si>
  <si>
    <t>Herramientas tecnicas</t>
  </si>
  <si>
    <t>Se realizo la compras de herrmaientas mediante el cheque N°2202</t>
  </si>
  <si>
    <t>Mobiliario de oficina</t>
  </si>
  <si>
    <t>Cuentas por pagar</t>
  </si>
  <si>
    <t xml:space="preserve">Se realizo la compra de mobiliario de oficina a credito </t>
  </si>
  <si>
    <t>Ingresos - Servicios prestados</t>
  </si>
  <si>
    <t>Cuentas por cobrar</t>
  </si>
  <si>
    <t>Tesoro nacional</t>
  </si>
  <si>
    <t>Se realizó la prestacion de servicios de red corporativa y solo se pagó el 30%</t>
  </si>
  <si>
    <t>Gastos - Salarios</t>
  </si>
  <si>
    <t>Se realizó el pago de salarios mediante el cheque N° 2203</t>
  </si>
  <si>
    <t>Se realizo el pago de los gastos de mercadeo mediante el cheque N° 2204</t>
  </si>
  <si>
    <t xml:space="preserve">    Cuentas por cobrar</t>
  </si>
  <si>
    <t>Se recibio el pago del saldo pendiente de la venta hecha el 13 de febrero</t>
  </si>
  <si>
    <t>Se realizo el abono de la cuentas por pagar del mobiliario de oficina</t>
  </si>
  <si>
    <t>Gastos - Servicios publicos</t>
  </si>
  <si>
    <t xml:space="preserve">     Banco</t>
  </si>
  <si>
    <t>Capital</t>
  </si>
  <si>
    <t>Ingresos - servicios prestados</t>
  </si>
  <si>
    <t>Gastos - Mercadeo(Publicidad)</t>
  </si>
  <si>
    <t>Gastos- Servicio publicos</t>
  </si>
  <si>
    <t>Caja Menuda 100</t>
  </si>
  <si>
    <t>Banco 101</t>
  </si>
  <si>
    <t>Cuentas por Cobrar 102</t>
  </si>
  <si>
    <t>Activo - Herramientas Tecnicas 103</t>
  </si>
  <si>
    <t>Cuentas por Pagar 200</t>
  </si>
  <si>
    <t>Tesoro Nacinal 201</t>
  </si>
  <si>
    <t>Capital 300</t>
  </si>
  <si>
    <t>Ingresos - servicios prestados 400</t>
  </si>
  <si>
    <t>Mobiliario de oficina 104</t>
  </si>
  <si>
    <t>Gastos - Salario 600</t>
  </si>
  <si>
    <t>Gastos - Promocion y publicidad 601</t>
  </si>
  <si>
    <t>Gastos- Servicio publicos 602</t>
  </si>
  <si>
    <t>Gastos - ITBMS 603</t>
  </si>
  <si>
    <t>Activo - Herramientas tecnicas</t>
  </si>
  <si>
    <t xml:space="preserve">Gastos - Promocion y publicidad </t>
  </si>
  <si>
    <t>Activo- Herramientas tecnicas</t>
  </si>
  <si>
    <t>Mobiliairo de oficina</t>
  </si>
  <si>
    <t>Febero</t>
  </si>
  <si>
    <t>Gastos - Promoción y publicidad</t>
  </si>
  <si>
    <t>La situación financiera de la empresa la considero saludable ya que tiene un buen balance entre gastos y sus ingresos, tambien hacen el pago de sus deudas correctamente, ademas tienen buena fuente de ingresos</t>
  </si>
  <si>
    <t>1 al 28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</si>
</sst>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B/.&quot;\ * #,##0.00_);_(&quot;B/.&quot;\ * \(#,##0.00\);_(&quot;B/.&quot;\ * &quot;-&quot;??_);_(@_)"/>
    <numFmt numFmtId="165" formatCode="0.0"/>
    <numFmt numFmtId="166" formatCode="_-[$B/.-180A]* #,##0.00_-;\-[$B/.-180A]* #,##0.00_-;_-[$B/.-180A]* &quot;-&quot;??_-;_-@_-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3" fillId="0" borderId="23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164" fontId="8" fillId="0" borderId="32" xfId="0" applyNumberFormat="1" applyFont="1" applyBorder="1"/>
    <xf numFmtId="0" fontId="10" fillId="0" borderId="0" xfId="0" applyFont="1" applyAlignment="1">
      <alignment horizontal="center" vertical="center"/>
    </xf>
    <xf numFmtId="2" fontId="0" fillId="0" borderId="9" xfId="0" applyNumberFormat="1" applyBorder="1" applyAlignment="1">
      <alignment horizontal="right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wrapText="1"/>
    </xf>
    <xf numFmtId="166" fontId="0" fillId="0" borderId="1" xfId="0" applyNumberFormat="1" applyBorder="1"/>
    <xf numFmtId="166" fontId="0" fillId="0" borderId="11" xfId="0" applyNumberFormat="1" applyBorder="1"/>
    <xf numFmtId="166" fontId="0" fillId="0" borderId="1" xfId="0" applyNumberFormat="1" applyBorder="1" applyAlignment="1">
      <alignment horizontal="right"/>
    </xf>
    <xf numFmtId="166" fontId="1" fillId="0" borderId="1" xfId="0" applyNumberFormat="1" applyFont="1" applyBorder="1"/>
    <xf numFmtId="0" fontId="8" fillId="0" borderId="25" xfId="0" applyFont="1" applyBorder="1" applyAlignment="1">
      <alignment horizontal="center"/>
    </xf>
    <xf numFmtId="166" fontId="0" fillId="0" borderId="31" xfId="0" applyNumberFormat="1" applyBorder="1"/>
    <xf numFmtId="166" fontId="0" fillId="0" borderId="28" xfId="0" applyNumberFormat="1" applyBorder="1"/>
    <xf numFmtId="166" fontId="0" fillId="0" borderId="27" xfId="0" applyNumberFormat="1" applyBorder="1"/>
    <xf numFmtId="166" fontId="0" fillId="0" borderId="1" xfId="1" applyNumberFormat="1" applyFont="1" applyBorder="1"/>
    <xf numFmtId="0" fontId="0" fillId="2" borderId="1" xfId="0" applyFill="1" applyBorder="1"/>
    <xf numFmtId="166" fontId="3" fillId="0" borderId="11" xfId="0" applyNumberFormat="1" applyFont="1" applyBorder="1" applyAlignment="1">
      <alignment horizontal="center"/>
    </xf>
    <xf numFmtId="166" fontId="3" fillId="0" borderId="24" xfId="0" applyNumberFormat="1" applyFont="1" applyBorder="1" applyAlignment="1">
      <alignment horizontal="center"/>
    </xf>
    <xf numFmtId="166" fontId="2" fillId="0" borderId="1" xfId="0" applyNumberFormat="1" applyFont="1" applyBorder="1"/>
    <xf numFmtId="166" fontId="2" fillId="0" borderId="19" xfId="0" applyNumberFormat="1" applyFont="1" applyBorder="1"/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6" fontId="3" fillId="0" borderId="31" xfId="0" applyNumberFormat="1" applyFont="1" applyBorder="1" applyAlignment="1">
      <alignment horizontal="center"/>
    </xf>
    <xf numFmtId="166" fontId="3" fillId="0" borderId="33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0" fillId="0" borderId="0" xfId="0" applyNumberFormat="1"/>
    <xf numFmtId="1" fontId="0" fillId="0" borderId="0" xfId="0" applyNumberFormat="1"/>
    <xf numFmtId="43" fontId="0" fillId="0" borderId="1" xfId="1" applyFont="1" applyBorder="1"/>
    <xf numFmtId="43" fontId="5" fillId="0" borderId="1" xfId="1" applyFont="1" applyBorder="1"/>
    <xf numFmtId="43" fontId="2" fillId="0" borderId="1" xfId="1" applyFont="1" applyBorder="1"/>
    <xf numFmtId="0" fontId="2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topLeftCell="A30" zoomScale="70" zoomScaleNormal="70" workbookViewId="0">
      <selection activeCell="M46" sqref="M46"/>
    </sheetView>
  </sheetViews>
  <sheetFormatPr defaultColWidth="10.8984375" defaultRowHeight="24.9" customHeight="1" x14ac:dyDescent="0.3"/>
  <cols>
    <col min="1" max="1" width="13.09765625" style="20" customWidth="1"/>
    <col min="2" max="2" width="5.09765625" style="20" customWidth="1"/>
    <col min="3" max="3" width="37.5" customWidth="1"/>
    <col min="4" max="4" width="6.5" customWidth="1"/>
    <col min="5" max="5" width="17.3984375" customWidth="1"/>
    <col min="6" max="6" width="18.59765625" customWidth="1"/>
    <col min="7" max="7" width="10.8984375" style="23"/>
    <col min="8" max="8" width="14.8984375" customWidth="1"/>
    <col min="9" max="9" width="18.09765625" customWidth="1"/>
    <col min="10" max="10" width="15.59765625" customWidth="1"/>
    <col min="11" max="11" width="5.09765625" customWidth="1"/>
    <col min="12" max="12" width="5.5" customWidth="1"/>
    <col min="13" max="13" width="14.69921875" customWidth="1"/>
    <col min="14" max="14" width="21.3984375" customWidth="1"/>
    <col min="15" max="16" width="6" customWidth="1"/>
    <col min="17" max="17" width="13.296875" customWidth="1"/>
    <col min="18" max="18" width="26.796875" customWidth="1"/>
    <col min="19" max="19" width="10.8984375" customWidth="1"/>
    <col min="20" max="20" width="6" customWidth="1"/>
    <col min="21" max="21" width="16.09765625" customWidth="1"/>
    <col min="22" max="22" width="17.3984375" customWidth="1"/>
    <col min="24" max="24" width="16.59765625" customWidth="1"/>
    <col min="25" max="25" width="14.19921875" customWidth="1"/>
  </cols>
  <sheetData>
    <row r="1" spans="1:25" ht="24.9" customHeight="1" x14ac:dyDescent="0.45">
      <c r="A1" s="73" t="s">
        <v>0</v>
      </c>
      <c r="B1" s="74"/>
      <c r="C1" s="74"/>
      <c r="D1" s="74"/>
      <c r="E1" s="75"/>
      <c r="K1" s="3"/>
      <c r="O1" s="37"/>
      <c r="T1" s="3"/>
      <c r="U1" s="3"/>
      <c r="X1" s="3" t="s">
        <v>2</v>
      </c>
      <c r="Y1" s="30" t="s">
        <v>3</v>
      </c>
    </row>
    <row r="2" spans="1:25" ht="24.9" customHeight="1" x14ac:dyDescent="0.35">
      <c r="A2" s="80"/>
      <c r="B2" s="81"/>
      <c r="C2" s="81"/>
      <c r="D2" s="81"/>
      <c r="E2" s="81"/>
      <c r="F2" s="81"/>
      <c r="K2" s="3"/>
      <c r="L2" s="20"/>
      <c r="O2" s="3"/>
      <c r="T2" s="3"/>
      <c r="U2" s="3"/>
      <c r="W2" s="30" t="s">
        <v>6</v>
      </c>
    </row>
    <row r="3" spans="1:25" ht="24.9" customHeight="1" x14ac:dyDescent="0.3">
      <c r="A3" s="82"/>
      <c r="B3" s="72"/>
      <c r="C3" s="72"/>
      <c r="D3" s="72"/>
      <c r="E3" s="72"/>
      <c r="F3" s="72"/>
      <c r="K3" s="19"/>
      <c r="L3" s="20"/>
      <c r="O3" s="19"/>
      <c r="T3" s="23"/>
      <c r="U3" s="23"/>
      <c r="W3" s="30" t="s">
        <v>7</v>
      </c>
    </row>
    <row r="4" spans="1:25" ht="24.9" customHeight="1" x14ac:dyDescent="0.35">
      <c r="A4" s="78"/>
      <c r="B4" s="79"/>
      <c r="C4" s="79"/>
      <c r="D4" s="79"/>
      <c r="E4" s="79"/>
      <c r="F4" s="79"/>
      <c r="I4" s="70" t="s">
        <v>61</v>
      </c>
      <c r="J4" s="71"/>
      <c r="K4" s="19"/>
      <c r="M4" s="70" t="s">
        <v>60</v>
      </c>
      <c r="N4" s="71"/>
      <c r="Q4" s="70" t="s">
        <v>64</v>
      </c>
      <c r="R4" s="71"/>
      <c r="V4" s="24"/>
      <c r="W4" s="30" t="s">
        <v>8</v>
      </c>
    </row>
    <row r="5" spans="1:25" s="3" customFormat="1" ht="24.9" customHeight="1" x14ac:dyDescent="0.35">
      <c r="A5" s="83" t="s">
        <v>9</v>
      </c>
      <c r="B5" s="84"/>
      <c r="C5" s="2" t="s">
        <v>10</v>
      </c>
      <c r="D5" s="2" t="s">
        <v>11</v>
      </c>
      <c r="E5" s="2" t="s">
        <v>4</v>
      </c>
      <c r="F5" s="2" t="s">
        <v>5</v>
      </c>
      <c r="I5" s="53" t="s">
        <v>4</v>
      </c>
      <c r="J5" s="60" t="s">
        <v>5</v>
      </c>
      <c r="K5" s="26"/>
      <c r="M5" s="53" t="s">
        <v>4</v>
      </c>
      <c r="N5" s="60" t="s">
        <v>5</v>
      </c>
      <c r="P5"/>
      <c r="Q5" s="53" t="s">
        <v>4</v>
      </c>
      <c r="R5" s="60" t="s">
        <v>5</v>
      </c>
      <c r="S5"/>
      <c r="T5" s="26"/>
      <c r="U5" s="26"/>
      <c r="V5" s="29"/>
    </row>
    <row r="6" spans="1:25" ht="24.9" customHeight="1" x14ac:dyDescent="0.3">
      <c r="A6" s="76"/>
      <c r="B6" s="77"/>
      <c r="C6" s="65"/>
      <c r="D6" s="65"/>
      <c r="E6" s="65"/>
      <c r="F6" s="65"/>
      <c r="H6">
        <v>1</v>
      </c>
      <c r="I6" s="56">
        <v>185000</v>
      </c>
      <c r="J6" s="57">
        <f>F11</f>
        <v>300</v>
      </c>
      <c r="K6" s="39">
        <v>3</v>
      </c>
      <c r="L6">
        <v>3</v>
      </c>
      <c r="M6" s="56">
        <v>300</v>
      </c>
      <c r="N6" s="57"/>
      <c r="P6">
        <v>26</v>
      </c>
      <c r="Q6" s="56">
        <f>E36</f>
        <v>1500</v>
      </c>
      <c r="R6" s="57">
        <f>F19</f>
        <v>3638</v>
      </c>
      <c r="S6">
        <v>9</v>
      </c>
      <c r="V6" s="23"/>
      <c r="X6" s="30" t="s">
        <v>12</v>
      </c>
      <c r="Y6" s="3" t="s">
        <v>13</v>
      </c>
    </row>
    <row r="7" spans="1:25" ht="24.9" customHeight="1" x14ac:dyDescent="0.3">
      <c r="A7" s="2" t="s">
        <v>33</v>
      </c>
      <c r="B7" s="2">
        <v>1</v>
      </c>
      <c r="C7" s="4" t="s">
        <v>29</v>
      </c>
      <c r="D7" s="4">
        <v>101</v>
      </c>
      <c r="E7" s="56">
        <v>185000</v>
      </c>
      <c r="F7" s="56"/>
      <c r="H7">
        <v>13</v>
      </c>
      <c r="I7" s="56">
        <f>E22</f>
        <v>3787.7999999999997</v>
      </c>
      <c r="J7" s="56">
        <f>F15</f>
        <v>5992</v>
      </c>
      <c r="K7" s="19">
        <v>5</v>
      </c>
      <c r="M7" s="56"/>
      <c r="N7" s="56"/>
      <c r="Q7" s="56"/>
      <c r="R7" s="56"/>
      <c r="V7" s="23"/>
      <c r="W7" s="30" t="s">
        <v>14</v>
      </c>
    </row>
    <row r="8" spans="1:25" ht="24.9" customHeight="1" x14ac:dyDescent="0.3">
      <c r="A8" s="21"/>
      <c r="B8" s="21"/>
      <c r="C8" s="4" t="s">
        <v>34</v>
      </c>
      <c r="D8" s="4">
        <v>300</v>
      </c>
      <c r="E8" s="56"/>
      <c r="F8" s="56">
        <v>185000</v>
      </c>
      <c r="H8">
        <v>23</v>
      </c>
      <c r="I8" s="58">
        <f>E33</f>
        <v>8838.1999999999989</v>
      </c>
      <c r="J8" s="58">
        <f>F27</f>
        <v>5900</v>
      </c>
      <c r="K8">
        <v>15</v>
      </c>
      <c r="M8" s="58"/>
      <c r="N8" s="58"/>
      <c r="Q8" s="58"/>
      <c r="R8" s="58"/>
      <c r="V8" s="23"/>
      <c r="W8" s="30" t="s">
        <v>1</v>
      </c>
    </row>
    <row r="9" spans="1:25" ht="29.25" customHeight="1" x14ac:dyDescent="0.3">
      <c r="A9" s="2"/>
      <c r="B9" s="2"/>
      <c r="C9" s="22" t="s">
        <v>35</v>
      </c>
      <c r="D9" s="4"/>
      <c r="E9" s="56"/>
      <c r="F9" s="56"/>
      <c r="I9" s="56"/>
      <c r="J9" s="58">
        <f>F31</f>
        <v>801.43000000000006</v>
      </c>
      <c r="K9">
        <v>19</v>
      </c>
      <c r="M9" s="56"/>
      <c r="N9" s="58"/>
      <c r="Q9" s="56"/>
      <c r="R9" s="58"/>
      <c r="W9" s="30" t="s">
        <v>15</v>
      </c>
    </row>
    <row r="10" spans="1:25" ht="24.9" customHeight="1" x14ac:dyDescent="0.3">
      <c r="A10" s="2" t="s">
        <v>33</v>
      </c>
      <c r="B10" s="2">
        <v>3</v>
      </c>
      <c r="C10" s="4" t="s">
        <v>36</v>
      </c>
      <c r="D10" s="4">
        <v>100</v>
      </c>
      <c r="E10" s="56">
        <v>300</v>
      </c>
      <c r="F10" s="56"/>
      <c r="I10" s="56"/>
      <c r="J10" s="59">
        <f>F37</f>
        <v>1500</v>
      </c>
      <c r="K10">
        <v>26</v>
      </c>
      <c r="M10" s="56"/>
      <c r="N10" s="59"/>
      <c r="Q10" s="56"/>
      <c r="R10" s="59"/>
      <c r="W10" s="30"/>
    </row>
    <row r="11" spans="1:25" ht="24.9" customHeight="1" x14ac:dyDescent="0.3">
      <c r="A11" s="21"/>
      <c r="B11" s="21"/>
      <c r="C11" s="4" t="s">
        <v>37</v>
      </c>
      <c r="D11" s="4">
        <v>101</v>
      </c>
      <c r="E11" s="56"/>
      <c r="F11" s="56">
        <v>300</v>
      </c>
      <c r="G11" s="31"/>
      <c r="I11" s="56"/>
      <c r="J11" s="56">
        <f>F41</f>
        <v>620.6</v>
      </c>
      <c r="K11">
        <v>28</v>
      </c>
      <c r="M11" s="56"/>
      <c r="N11" s="56"/>
      <c r="Q11" s="56"/>
      <c r="R11" s="56"/>
      <c r="U11" s="3"/>
      <c r="W11" s="72"/>
      <c r="X11" s="72"/>
      <c r="Y11" s="37"/>
    </row>
    <row r="12" spans="1:25" ht="31.2" x14ac:dyDescent="0.3">
      <c r="A12" s="21"/>
      <c r="B12" s="21"/>
      <c r="C12" s="22" t="s">
        <v>38</v>
      </c>
      <c r="D12" s="4"/>
      <c r="E12" s="56"/>
      <c r="F12" s="56"/>
      <c r="I12" s="56"/>
      <c r="J12" s="56"/>
      <c r="M12" s="56"/>
      <c r="N12" s="56"/>
      <c r="Q12" s="56"/>
      <c r="R12" s="56"/>
      <c r="U12" s="20"/>
      <c r="W12" s="3"/>
      <c r="X12" s="3"/>
    </row>
    <row r="13" spans="1:25" ht="34.5" customHeight="1" x14ac:dyDescent="0.3">
      <c r="A13" s="21" t="s">
        <v>33</v>
      </c>
      <c r="B13" s="48">
        <v>5</v>
      </c>
      <c r="C13" s="22" t="s">
        <v>39</v>
      </c>
      <c r="D13" s="4">
        <v>103</v>
      </c>
      <c r="E13" s="56">
        <v>5600</v>
      </c>
      <c r="F13" s="56"/>
      <c r="I13" s="61"/>
      <c r="J13" s="61"/>
      <c r="M13" s="61"/>
      <c r="N13" s="61"/>
      <c r="Q13" s="61"/>
      <c r="R13" s="61"/>
      <c r="U13" s="20"/>
      <c r="V13" s="20"/>
      <c r="W13" s="39"/>
      <c r="X13" s="51"/>
    </row>
    <row r="14" spans="1:25" ht="28.8" customHeight="1" thickBot="1" x14ac:dyDescent="0.35">
      <c r="A14" s="21"/>
      <c r="B14" s="21"/>
      <c r="C14" s="22" t="s">
        <v>31</v>
      </c>
      <c r="D14" s="4">
        <v>603</v>
      </c>
      <c r="E14" s="56">
        <f>5600*0.07</f>
        <v>392.00000000000006</v>
      </c>
      <c r="F14" s="56"/>
      <c r="I14" s="62">
        <f>SUM(I6:I13)</f>
        <v>197626</v>
      </c>
      <c r="J14" s="63">
        <f>SUM(J6:J13)</f>
        <v>15114.03</v>
      </c>
      <c r="M14" s="62">
        <f>SUM(M6:M13)</f>
        <v>300</v>
      </c>
      <c r="N14" s="63">
        <f>SUM(N6:N13)</f>
        <v>0</v>
      </c>
      <c r="Q14" s="62">
        <f>SUM(Q6:Q13)</f>
        <v>1500</v>
      </c>
      <c r="R14" s="63">
        <f>SUM(R6:R13)</f>
        <v>3638</v>
      </c>
      <c r="V14" s="23"/>
    </row>
    <row r="15" spans="1:25" ht="34.5" customHeight="1" thickTop="1" x14ac:dyDescent="0.3">
      <c r="A15" s="21"/>
      <c r="B15" s="21"/>
      <c r="C15" s="22" t="s">
        <v>37</v>
      </c>
      <c r="D15" s="4">
        <v>101</v>
      </c>
      <c r="E15" s="56"/>
      <c r="F15" s="56">
        <f>SUM(E13:E14)</f>
        <v>5992</v>
      </c>
      <c r="I15" s="104">
        <f>I14-J14</f>
        <v>182511.97</v>
      </c>
      <c r="R15" s="104">
        <f>R14-Q14</f>
        <v>2138</v>
      </c>
      <c r="U15" s="3"/>
      <c r="W15" s="52"/>
      <c r="X15" s="3"/>
    </row>
    <row r="16" spans="1:25" ht="40.5" customHeight="1" x14ac:dyDescent="0.3">
      <c r="A16" s="21"/>
      <c r="B16" s="48"/>
      <c r="C16" s="49" t="s">
        <v>40</v>
      </c>
      <c r="D16" s="4"/>
      <c r="E16" s="56"/>
      <c r="F16" s="56"/>
    </row>
    <row r="17" spans="1:23" ht="15.6" x14ac:dyDescent="0.3">
      <c r="A17" s="21" t="s">
        <v>33</v>
      </c>
      <c r="B17" s="21">
        <v>9</v>
      </c>
      <c r="C17" s="22" t="s">
        <v>41</v>
      </c>
      <c r="D17" s="4">
        <v>104</v>
      </c>
      <c r="E17" s="56">
        <v>3400</v>
      </c>
      <c r="F17" s="56"/>
      <c r="I17" s="30"/>
    </row>
    <row r="18" spans="1:23" ht="33" customHeight="1" x14ac:dyDescent="0.35">
      <c r="A18" s="21"/>
      <c r="B18" s="21"/>
      <c r="C18" s="22" t="s">
        <v>31</v>
      </c>
      <c r="D18" s="4">
        <v>603</v>
      </c>
      <c r="E18" s="56">
        <f>E17*0.07</f>
        <v>238.00000000000003</v>
      </c>
      <c r="F18" s="56"/>
      <c r="I18" s="70" t="s">
        <v>72</v>
      </c>
      <c r="J18" s="71"/>
      <c r="M18" s="70" t="s">
        <v>65</v>
      </c>
      <c r="N18" s="71"/>
      <c r="Q18" s="70" t="s">
        <v>62</v>
      </c>
      <c r="R18" s="71"/>
      <c r="U18" s="70" t="s">
        <v>66</v>
      </c>
      <c r="V18" s="71"/>
    </row>
    <row r="19" spans="1:23" ht="28.5" customHeight="1" x14ac:dyDescent="0.35">
      <c r="A19" s="21"/>
      <c r="B19" s="21"/>
      <c r="C19" s="22" t="s">
        <v>42</v>
      </c>
      <c r="D19" s="4">
        <v>200</v>
      </c>
      <c r="E19" s="56"/>
      <c r="F19" s="56">
        <f>SUM(E17:E18)</f>
        <v>3638</v>
      </c>
      <c r="G19" s="24"/>
      <c r="I19" s="53" t="s">
        <v>4</v>
      </c>
      <c r="J19" s="60" t="s">
        <v>5</v>
      </c>
      <c r="M19" s="53" t="s">
        <v>4</v>
      </c>
      <c r="N19" s="60" t="s">
        <v>5</v>
      </c>
      <c r="Q19" s="53" t="s">
        <v>4</v>
      </c>
      <c r="R19" s="60" t="s">
        <v>5</v>
      </c>
      <c r="U19" s="53" t="s">
        <v>4</v>
      </c>
      <c r="V19" s="60" t="s">
        <v>5</v>
      </c>
    </row>
    <row r="20" spans="1:23" ht="35.25" customHeight="1" x14ac:dyDescent="0.3">
      <c r="A20" s="21"/>
      <c r="B20" s="21"/>
      <c r="C20" s="49" t="s">
        <v>43</v>
      </c>
      <c r="D20" s="4"/>
      <c r="E20" s="56"/>
      <c r="F20" s="56"/>
      <c r="H20">
        <v>5</v>
      </c>
      <c r="I20" s="56">
        <f>E14</f>
        <v>392.00000000000006</v>
      </c>
      <c r="J20" s="57"/>
      <c r="M20" s="56"/>
      <c r="N20" s="57">
        <f>F24</f>
        <v>826.00000000000011</v>
      </c>
      <c r="O20">
        <v>13</v>
      </c>
      <c r="P20">
        <v>13</v>
      </c>
      <c r="Q20" s="56">
        <f>E21</f>
        <v>8838.1999999999989</v>
      </c>
      <c r="R20" s="57">
        <f>Q20</f>
        <v>8838.1999999999989</v>
      </c>
      <c r="S20">
        <v>23</v>
      </c>
      <c r="U20" s="56"/>
      <c r="V20" s="57">
        <f>F8</f>
        <v>185000</v>
      </c>
      <c r="W20" s="19">
        <v>1</v>
      </c>
    </row>
    <row r="21" spans="1:23" ht="30.75" customHeight="1" x14ac:dyDescent="0.3">
      <c r="A21" s="21" t="s">
        <v>33</v>
      </c>
      <c r="B21" s="21">
        <v>13</v>
      </c>
      <c r="C21" s="22" t="s">
        <v>45</v>
      </c>
      <c r="D21" s="4">
        <v>102</v>
      </c>
      <c r="E21" s="56">
        <f>12626*0.7</f>
        <v>8838.1999999999989</v>
      </c>
      <c r="F21" s="56"/>
      <c r="G21" s="23">
        <f>11800+826</f>
        <v>12626</v>
      </c>
      <c r="H21">
        <v>9</v>
      </c>
      <c r="I21" s="56">
        <f>E18</f>
        <v>238.00000000000003</v>
      </c>
      <c r="J21" s="56"/>
      <c r="M21" s="56"/>
      <c r="N21" s="56"/>
      <c r="Q21" s="56"/>
      <c r="R21" s="56"/>
      <c r="U21" s="56"/>
      <c r="V21" s="56"/>
    </row>
    <row r="22" spans="1:23" ht="24.9" customHeight="1" x14ac:dyDescent="0.3">
      <c r="A22" s="21"/>
      <c r="B22" s="21"/>
      <c r="C22" s="4" t="s">
        <v>29</v>
      </c>
      <c r="D22" s="4">
        <v>101</v>
      </c>
      <c r="E22" s="56">
        <f>12626*0.3</f>
        <v>3787.7999999999997</v>
      </c>
      <c r="F22" s="56"/>
      <c r="H22">
        <v>19</v>
      </c>
      <c r="I22" s="58">
        <f>E30</f>
        <v>52.430000000000007</v>
      </c>
      <c r="J22" s="58"/>
      <c r="M22" s="58"/>
      <c r="N22" s="58"/>
      <c r="Q22" s="58"/>
      <c r="R22" s="58"/>
      <c r="U22" s="58"/>
      <c r="V22" s="58"/>
    </row>
    <row r="23" spans="1:23" ht="30.75" customHeight="1" x14ac:dyDescent="0.3">
      <c r="A23" s="21"/>
      <c r="B23" s="21"/>
      <c r="C23" s="22" t="s">
        <v>44</v>
      </c>
      <c r="D23" s="4">
        <v>400</v>
      </c>
      <c r="E23" s="56"/>
      <c r="F23" s="56">
        <v>11800</v>
      </c>
      <c r="H23">
        <v>28</v>
      </c>
      <c r="I23" s="56">
        <f>E40</f>
        <v>40.6</v>
      </c>
      <c r="J23" s="58"/>
      <c r="M23" s="56"/>
      <c r="N23" s="58"/>
      <c r="Q23" s="56"/>
      <c r="R23" s="58"/>
      <c r="U23" s="56"/>
      <c r="V23" s="58"/>
    </row>
    <row r="24" spans="1:23" ht="54" customHeight="1" x14ac:dyDescent="0.3">
      <c r="A24" s="21"/>
      <c r="B24" s="21"/>
      <c r="C24" s="22" t="s">
        <v>46</v>
      </c>
      <c r="D24" s="4">
        <v>201</v>
      </c>
      <c r="E24" s="56"/>
      <c r="F24" s="56">
        <f>11800*0.07</f>
        <v>826.00000000000011</v>
      </c>
      <c r="I24" s="56"/>
      <c r="J24" s="59"/>
      <c r="M24" s="56"/>
      <c r="N24" s="59"/>
      <c r="Q24" s="56"/>
      <c r="R24" s="59"/>
      <c r="U24" s="56"/>
      <c r="V24" s="59"/>
    </row>
    <row r="25" spans="1:23" ht="31.2" x14ac:dyDescent="0.3">
      <c r="A25" s="21"/>
      <c r="B25" s="21"/>
      <c r="C25" s="28" t="s">
        <v>47</v>
      </c>
      <c r="D25" s="4"/>
      <c r="E25" s="56"/>
      <c r="F25" s="56"/>
      <c r="I25" s="56"/>
      <c r="J25" s="56"/>
      <c r="M25" s="56"/>
      <c r="N25" s="56"/>
      <c r="Q25" s="56"/>
      <c r="R25" s="56"/>
      <c r="U25" s="56"/>
      <c r="V25" s="56"/>
    </row>
    <row r="26" spans="1:23" ht="36" customHeight="1" x14ac:dyDescent="0.3">
      <c r="A26" s="21"/>
      <c r="B26" s="21">
        <v>15</v>
      </c>
      <c r="C26" s="22" t="s">
        <v>48</v>
      </c>
      <c r="D26" s="4">
        <v>600</v>
      </c>
      <c r="E26" s="56">
        <v>5900</v>
      </c>
      <c r="F26" s="56"/>
      <c r="I26" s="56"/>
      <c r="J26" s="56"/>
      <c r="M26" s="56"/>
      <c r="N26" s="56"/>
      <c r="Q26" s="56"/>
      <c r="R26" s="56"/>
      <c r="U26" s="56"/>
      <c r="V26" s="56"/>
      <c r="W26" s="19"/>
    </row>
    <row r="27" spans="1:23" ht="34.5" customHeight="1" x14ac:dyDescent="0.3">
      <c r="A27" s="21"/>
      <c r="B27" s="21"/>
      <c r="C27" s="22" t="s">
        <v>37</v>
      </c>
      <c r="D27" s="4">
        <v>101</v>
      </c>
      <c r="E27" s="56"/>
      <c r="F27" s="56">
        <v>5900</v>
      </c>
      <c r="I27" s="61"/>
      <c r="J27" s="61"/>
      <c r="M27" s="61"/>
      <c r="N27" s="61"/>
      <c r="Q27" s="61"/>
      <c r="R27" s="61"/>
      <c r="U27" s="61"/>
      <c r="V27" s="61"/>
      <c r="W27" s="19"/>
    </row>
    <row r="28" spans="1:23" ht="31.8" thickBot="1" x14ac:dyDescent="0.35">
      <c r="A28" s="21"/>
      <c r="B28" s="21"/>
      <c r="C28" s="28" t="s">
        <v>49</v>
      </c>
      <c r="D28" s="4"/>
      <c r="E28" s="56"/>
      <c r="F28" s="56"/>
      <c r="I28" s="62">
        <f>SUM(I20:I27)</f>
        <v>723.03000000000009</v>
      </c>
      <c r="J28" s="63">
        <f>SUM(J20:J27)</f>
        <v>0</v>
      </c>
      <c r="M28" s="62">
        <f>SUM(M20:M27)</f>
        <v>0</v>
      </c>
      <c r="N28" s="63">
        <f>SUM(N20:N27)</f>
        <v>826.00000000000011</v>
      </c>
      <c r="Q28" s="62">
        <f>SUM(Q20:Q27)</f>
        <v>8838.1999999999989</v>
      </c>
      <c r="R28" s="63">
        <f>SUM(R20:R27)</f>
        <v>8838.1999999999989</v>
      </c>
      <c r="U28" s="62">
        <f>SUM(U20:U27)</f>
        <v>0</v>
      </c>
      <c r="V28" s="63">
        <f>SUM(V20:V27)</f>
        <v>185000</v>
      </c>
      <c r="W28" s="19"/>
    </row>
    <row r="29" spans="1:23" ht="24.9" customHeight="1" thickTop="1" x14ac:dyDescent="0.3">
      <c r="A29" s="21"/>
      <c r="B29" s="21">
        <v>19</v>
      </c>
      <c r="C29" s="49" t="s">
        <v>58</v>
      </c>
      <c r="D29" s="4">
        <v>601</v>
      </c>
      <c r="E29" s="56">
        <v>749</v>
      </c>
      <c r="F29" s="56"/>
      <c r="U29" s="3"/>
      <c r="V29" s="3"/>
    </row>
    <row r="30" spans="1:23" ht="46.5" customHeight="1" x14ac:dyDescent="0.3">
      <c r="A30" s="21"/>
      <c r="B30" s="21"/>
      <c r="C30" s="50" t="s">
        <v>31</v>
      </c>
      <c r="D30" s="4">
        <v>603</v>
      </c>
      <c r="E30" s="56">
        <f>E29*0.07</f>
        <v>52.430000000000007</v>
      </c>
      <c r="F30" s="56"/>
    </row>
    <row r="31" spans="1:23" ht="24.9" customHeight="1" x14ac:dyDescent="0.3">
      <c r="A31" s="21"/>
      <c r="B31" s="21"/>
      <c r="C31" s="4" t="s">
        <v>37</v>
      </c>
      <c r="D31" s="4">
        <v>101</v>
      </c>
      <c r="E31" s="56"/>
      <c r="F31" s="56">
        <f>SUM(E29:E30)</f>
        <v>801.43000000000006</v>
      </c>
      <c r="U31" s="3"/>
    </row>
    <row r="32" spans="1:23" ht="32.4" customHeight="1" x14ac:dyDescent="0.35">
      <c r="A32" s="21"/>
      <c r="B32" s="21"/>
      <c r="C32" s="28" t="s">
        <v>50</v>
      </c>
      <c r="D32" s="4"/>
      <c r="E32" s="56"/>
      <c r="F32" s="56"/>
      <c r="I32" s="70" t="s">
        <v>69</v>
      </c>
      <c r="J32" s="71"/>
      <c r="M32" s="70" t="s">
        <v>63</v>
      </c>
      <c r="N32" s="71"/>
      <c r="Q32" s="70" t="s">
        <v>68</v>
      </c>
      <c r="R32" s="71"/>
      <c r="U32" s="70" t="s">
        <v>67</v>
      </c>
      <c r="V32" s="71"/>
    </row>
    <row r="33" spans="1:23" ht="24.9" customHeight="1" x14ac:dyDescent="0.35">
      <c r="A33" s="21"/>
      <c r="B33" s="21">
        <v>23</v>
      </c>
      <c r="C33" s="54" t="s">
        <v>29</v>
      </c>
      <c r="D33" s="4">
        <v>101</v>
      </c>
      <c r="E33" s="56">
        <f>E21</f>
        <v>8838.1999999999989</v>
      </c>
      <c r="F33" s="64"/>
      <c r="I33" s="53" t="s">
        <v>4</v>
      </c>
      <c r="J33" s="60" t="s">
        <v>5</v>
      </c>
      <c r="M33" s="53" t="s">
        <v>4</v>
      </c>
      <c r="N33" s="60" t="s">
        <v>5</v>
      </c>
      <c r="Q33" s="53" t="s">
        <v>4</v>
      </c>
      <c r="R33" s="60" t="s">
        <v>5</v>
      </c>
      <c r="U33" s="53" t="s">
        <v>4</v>
      </c>
      <c r="V33" s="60" t="s">
        <v>5</v>
      </c>
    </row>
    <row r="34" spans="1:23" ht="24.9" customHeight="1" x14ac:dyDescent="0.3">
      <c r="A34" s="21"/>
      <c r="B34" s="21"/>
      <c r="C34" s="4" t="s">
        <v>51</v>
      </c>
      <c r="D34" s="4">
        <v>102</v>
      </c>
      <c r="E34" s="56"/>
      <c r="F34" s="56">
        <f>E33</f>
        <v>8838.1999999999989</v>
      </c>
      <c r="H34">
        <v>15</v>
      </c>
      <c r="I34" s="56">
        <f>E26</f>
        <v>5900</v>
      </c>
      <c r="J34" s="57"/>
      <c r="L34">
        <v>5</v>
      </c>
      <c r="M34" s="56">
        <f>E13</f>
        <v>5600</v>
      </c>
      <c r="N34" s="57"/>
      <c r="P34">
        <v>9</v>
      </c>
      <c r="Q34" s="56">
        <f>E17</f>
        <v>3400</v>
      </c>
      <c r="R34" s="57"/>
      <c r="U34" s="56"/>
      <c r="V34" s="57">
        <f>F23</f>
        <v>11800</v>
      </c>
      <c r="W34">
        <v>13</v>
      </c>
    </row>
    <row r="35" spans="1:23" ht="45" customHeight="1" x14ac:dyDescent="0.3">
      <c r="A35" s="21"/>
      <c r="B35" s="21"/>
      <c r="C35" s="28" t="s">
        <v>52</v>
      </c>
      <c r="D35" s="4"/>
      <c r="E35" s="56"/>
      <c r="F35" s="56"/>
      <c r="I35" s="56"/>
      <c r="J35" s="56"/>
      <c r="M35" s="56"/>
      <c r="N35" s="56"/>
      <c r="Q35" s="56"/>
      <c r="R35" s="56"/>
      <c r="U35" s="56"/>
      <c r="V35" s="56"/>
    </row>
    <row r="36" spans="1:23" ht="24.9" customHeight="1" x14ac:dyDescent="0.3">
      <c r="A36" s="21"/>
      <c r="B36" s="21">
        <v>26</v>
      </c>
      <c r="C36" s="4" t="s">
        <v>42</v>
      </c>
      <c r="D36" s="4">
        <v>200</v>
      </c>
      <c r="E36" s="56">
        <v>1500</v>
      </c>
      <c r="F36" s="56"/>
      <c r="I36" s="58"/>
      <c r="J36" s="58"/>
      <c r="M36" s="58"/>
      <c r="N36" s="58"/>
      <c r="Q36" s="58"/>
      <c r="R36" s="58"/>
      <c r="U36" s="58"/>
      <c r="V36" s="58"/>
    </row>
    <row r="37" spans="1:23" ht="24.9" customHeight="1" x14ac:dyDescent="0.3">
      <c r="A37" s="21"/>
      <c r="B37" s="21"/>
      <c r="C37" s="4" t="s">
        <v>37</v>
      </c>
      <c r="D37" s="4">
        <v>101</v>
      </c>
      <c r="E37" s="56"/>
      <c r="F37" s="56">
        <v>1500</v>
      </c>
      <c r="I37" s="56"/>
      <c r="J37" s="58"/>
      <c r="M37" s="56"/>
      <c r="N37" s="58"/>
      <c r="Q37" s="56"/>
      <c r="R37" s="58"/>
      <c r="U37" s="56"/>
      <c r="V37" s="58"/>
    </row>
    <row r="38" spans="1:23" ht="33" customHeight="1" x14ac:dyDescent="0.3">
      <c r="A38" s="21"/>
      <c r="B38" s="21"/>
      <c r="C38" s="28" t="s">
        <v>53</v>
      </c>
      <c r="D38" s="4"/>
      <c r="E38" s="56"/>
      <c r="F38" s="56"/>
      <c r="I38" s="56"/>
      <c r="J38" s="59"/>
      <c r="M38" s="56"/>
      <c r="N38" s="59"/>
      <c r="Q38" s="56"/>
      <c r="R38" s="59"/>
      <c r="U38" s="56"/>
      <c r="V38" s="59"/>
    </row>
    <row r="39" spans="1:23" ht="24.9" customHeight="1" x14ac:dyDescent="0.3">
      <c r="A39" s="21"/>
      <c r="B39" s="21">
        <v>28</v>
      </c>
      <c r="C39" s="4" t="s">
        <v>54</v>
      </c>
      <c r="D39" s="4">
        <v>602</v>
      </c>
      <c r="E39" s="56">
        <v>580</v>
      </c>
      <c r="F39" s="56"/>
      <c r="I39" s="56"/>
      <c r="J39" s="56"/>
      <c r="M39" s="56"/>
      <c r="N39" s="56"/>
      <c r="Q39" s="56"/>
      <c r="R39" s="56"/>
      <c r="U39" s="56"/>
      <c r="V39" s="56"/>
    </row>
    <row r="40" spans="1:23" ht="15.6" x14ac:dyDescent="0.3">
      <c r="A40" s="21"/>
      <c r="B40" s="21"/>
      <c r="C40" s="55" t="s">
        <v>31</v>
      </c>
      <c r="D40" s="4">
        <v>603</v>
      </c>
      <c r="E40" s="56">
        <f>E39*0.07</f>
        <v>40.6</v>
      </c>
      <c r="F40" s="56"/>
      <c r="I40" s="56"/>
      <c r="J40" s="56"/>
      <c r="M40" s="56"/>
      <c r="N40" s="56"/>
      <c r="Q40" s="56"/>
      <c r="R40" s="56"/>
      <c r="U40" s="56"/>
      <c r="V40" s="56"/>
    </row>
    <row r="41" spans="1:23" ht="24.9" customHeight="1" x14ac:dyDescent="0.3">
      <c r="A41" s="21"/>
      <c r="B41" s="21"/>
      <c r="C41" s="4" t="s">
        <v>55</v>
      </c>
      <c r="D41" s="4">
        <v>101</v>
      </c>
      <c r="E41" s="64"/>
      <c r="F41" s="56">
        <f>SUM(E39:E40)</f>
        <v>620.6</v>
      </c>
      <c r="I41" s="61"/>
      <c r="J41" s="61"/>
      <c r="M41" s="61"/>
      <c r="N41" s="61"/>
      <c r="Q41" s="61"/>
      <c r="R41" s="61"/>
      <c r="U41" s="61"/>
      <c r="V41" s="61"/>
    </row>
    <row r="42" spans="1:23" ht="24.9" customHeight="1" thickBot="1" x14ac:dyDescent="0.35">
      <c r="A42" s="21"/>
      <c r="B42" s="21"/>
      <c r="C42" s="4"/>
      <c r="D42" s="4"/>
      <c r="E42" s="56"/>
      <c r="F42" s="64"/>
      <c r="I42" s="62">
        <f>SUM(I34:I41)</f>
        <v>5900</v>
      </c>
      <c r="J42" s="63">
        <f>SUM(J34:J41)</f>
        <v>0</v>
      </c>
      <c r="M42" s="62">
        <f>SUM(M34:M41)</f>
        <v>5600</v>
      </c>
      <c r="N42" s="63">
        <f>SUM(N34:N41)</f>
        <v>0</v>
      </c>
      <c r="Q42" s="62">
        <f>SUM(Q34:Q41)</f>
        <v>3400</v>
      </c>
      <c r="R42" s="63">
        <f>SUM(R34:R41)</f>
        <v>0</v>
      </c>
      <c r="U42" s="62">
        <f>SUM(U34:U41)</f>
        <v>0</v>
      </c>
      <c r="V42" s="63">
        <f>SUM(V34:V41)</f>
        <v>11800</v>
      </c>
    </row>
    <row r="43" spans="1:23" ht="16.2" thickTop="1" x14ac:dyDescent="0.3">
      <c r="A43" s="21"/>
      <c r="B43" s="21"/>
      <c r="C43" s="28"/>
      <c r="D43" s="4"/>
      <c r="E43" s="56"/>
      <c r="F43" s="56"/>
    </row>
    <row r="47" spans="1:23" ht="24.9" customHeight="1" x14ac:dyDescent="0.35">
      <c r="I47" s="70" t="s">
        <v>70</v>
      </c>
      <c r="J47" s="71"/>
      <c r="M47" s="70" t="s">
        <v>71</v>
      </c>
      <c r="N47" s="71"/>
      <c r="Q47" s="70" t="s">
        <v>28</v>
      </c>
      <c r="R47" s="71"/>
      <c r="U47" s="70" t="s">
        <v>28</v>
      </c>
      <c r="V47" s="71"/>
    </row>
    <row r="48" spans="1:23" ht="24.9" customHeight="1" x14ac:dyDescent="0.35">
      <c r="I48" s="53" t="s">
        <v>4</v>
      </c>
      <c r="J48" s="60" t="s">
        <v>5</v>
      </c>
      <c r="M48" s="53" t="s">
        <v>4</v>
      </c>
      <c r="N48" s="60" t="s">
        <v>5</v>
      </c>
      <c r="Q48" s="53" t="s">
        <v>4</v>
      </c>
      <c r="R48" s="60" t="s">
        <v>5</v>
      </c>
      <c r="U48" s="53" t="s">
        <v>4</v>
      </c>
      <c r="V48" s="60" t="s">
        <v>5</v>
      </c>
    </row>
    <row r="49" spans="8:22" ht="24.9" customHeight="1" x14ac:dyDescent="0.3">
      <c r="H49">
        <v>19</v>
      </c>
      <c r="I49" s="56">
        <f>E29</f>
        <v>749</v>
      </c>
      <c r="J49" s="57"/>
      <c r="L49">
        <v>28</v>
      </c>
      <c r="M49" s="56">
        <f>E39</f>
        <v>580</v>
      </c>
      <c r="N49" s="57"/>
      <c r="Q49" s="56"/>
      <c r="R49" s="57"/>
      <c r="U49" s="56"/>
      <c r="V49" s="57"/>
    </row>
    <row r="50" spans="8:22" ht="24.9" customHeight="1" x14ac:dyDescent="0.3">
      <c r="I50" s="56"/>
      <c r="J50" s="56"/>
      <c r="M50" s="56"/>
      <c r="N50" s="56"/>
      <c r="Q50" s="56"/>
      <c r="R50" s="56"/>
      <c r="U50" s="56"/>
      <c r="V50" s="56"/>
    </row>
    <row r="51" spans="8:22" ht="24.9" customHeight="1" x14ac:dyDescent="0.3">
      <c r="I51" s="58"/>
      <c r="J51" s="58"/>
      <c r="M51" s="58"/>
      <c r="N51" s="58"/>
      <c r="Q51" s="58"/>
      <c r="R51" s="58"/>
      <c r="U51" s="58"/>
      <c r="V51" s="58"/>
    </row>
    <row r="52" spans="8:22" ht="24.9" customHeight="1" x14ac:dyDescent="0.3">
      <c r="I52" s="56"/>
      <c r="J52" s="58"/>
      <c r="M52" s="56"/>
      <c r="N52" s="58"/>
      <c r="Q52" s="56"/>
      <c r="R52" s="58"/>
      <c r="U52" s="56"/>
      <c r="V52" s="58"/>
    </row>
    <row r="53" spans="8:22" ht="24.9" customHeight="1" x14ac:dyDescent="0.3">
      <c r="I53" s="56"/>
      <c r="J53" s="59"/>
      <c r="M53" s="56"/>
      <c r="N53" s="59"/>
      <c r="Q53" s="56"/>
      <c r="R53" s="59"/>
      <c r="U53" s="56"/>
      <c r="V53" s="59"/>
    </row>
    <row r="54" spans="8:22" ht="24.9" customHeight="1" x14ac:dyDescent="0.3">
      <c r="I54" s="56"/>
      <c r="J54" s="56"/>
      <c r="M54" s="56"/>
      <c r="N54" s="56"/>
      <c r="Q54" s="56"/>
      <c r="R54" s="56"/>
      <c r="U54" s="56"/>
      <c r="V54" s="56"/>
    </row>
    <row r="55" spans="8:22" ht="24.9" customHeight="1" x14ac:dyDescent="0.3">
      <c r="I55" s="56"/>
      <c r="J55" s="56"/>
      <c r="M55" s="56"/>
      <c r="N55" s="56"/>
      <c r="Q55" s="56"/>
      <c r="R55" s="56"/>
      <c r="U55" s="56"/>
      <c r="V55" s="56"/>
    </row>
    <row r="56" spans="8:22" ht="24.9" customHeight="1" x14ac:dyDescent="0.3">
      <c r="I56" s="61"/>
      <c r="J56" s="61"/>
      <c r="M56" s="61"/>
      <c r="N56" s="61"/>
      <c r="Q56" s="61"/>
      <c r="R56" s="61"/>
      <c r="U56" s="61"/>
      <c r="V56" s="61"/>
    </row>
    <row r="57" spans="8:22" ht="24.9" customHeight="1" thickBot="1" x14ac:dyDescent="0.35">
      <c r="I57" s="62">
        <f>SUM(I49:I56)</f>
        <v>749</v>
      </c>
      <c r="J57" s="63">
        <f>SUM(J49:J56)</f>
        <v>0</v>
      </c>
      <c r="M57" s="62">
        <f>SUM(M49:M56)</f>
        <v>580</v>
      </c>
      <c r="N57" s="63">
        <f>SUM(N49:N56)</f>
        <v>0</v>
      </c>
      <c r="Q57" s="62">
        <f>SUM(Q49:Q56)</f>
        <v>0</v>
      </c>
      <c r="R57" s="63">
        <f>SUM(R49:R56)</f>
        <v>0</v>
      </c>
      <c r="U57" s="62">
        <f>SUM(U49:U56)</f>
        <v>0</v>
      </c>
      <c r="V57" s="63">
        <f>SUM(V49:V56)</f>
        <v>0</v>
      </c>
    </row>
    <row r="58" spans="8:22" ht="24.9" customHeight="1" thickTop="1" x14ac:dyDescent="0.3"/>
  </sheetData>
  <mergeCells count="22">
    <mergeCell ref="I32:J32"/>
    <mergeCell ref="M32:N32"/>
    <mergeCell ref="Q32:R32"/>
    <mergeCell ref="I47:J47"/>
    <mergeCell ref="M47:N47"/>
    <mergeCell ref="Q47:R47"/>
    <mergeCell ref="U18:V18"/>
    <mergeCell ref="U32:V32"/>
    <mergeCell ref="U47:V47"/>
    <mergeCell ref="W11:X11"/>
    <mergeCell ref="A1:E1"/>
    <mergeCell ref="A6:B6"/>
    <mergeCell ref="A4:F4"/>
    <mergeCell ref="A2:F2"/>
    <mergeCell ref="A3:F3"/>
    <mergeCell ref="A5:B5"/>
    <mergeCell ref="I4:J4"/>
    <mergeCell ref="M4:N4"/>
    <mergeCell ref="Q4:R4"/>
    <mergeCell ref="I18:J18"/>
    <mergeCell ref="M18:N18"/>
    <mergeCell ref="Q18:R18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2"/>
  <sheetViews>
    <sheetView topLeftCell="A140" workbookViewId="0">
      <selection activeCell="N134" sqref="N134"/>
    </sheetView>
  </sheetViews>
  <sheetFormatPr defaultColWidth="10.8984375" defaultRowHeight="17.399999999999999" x14ac:dyDescent="0.35"/>
  <cols>
    <col min="1" max="1" width="8.3984375" style="5" customWidth="1"/>
    <col min="2" max="2" width="3.09765625" style="5" customWidth="1"/>
    <col min="3" max="3" width="19" style="5" customWidth="1"/>
    <col min="4" max="4" width="5.09765625" style="5" customWidth="1"/>
    <col min="5" max="5" width="14.796875" style="5" customWidth="1"/>
    <col min="6" max="6" width="4.8984375" style="5" customWidth="1"/>
    <col min="7" max="7" width="8.3984375" style="5" customWidth="1"/>
    <col min="8" max="8" width="3.09765625" style="5" customWidth="1"/>
    <col min="9" max="9" width="17" style="5" customWidth="1"/>
    <col min="10" max="10" width="5.09765625" style="5" customWidth="1"/>
    <col min="11" max="11" width="16" style="5" customWidth="1"/>
    <col min="12" max="12" width="5" style="5" customWidth="1"/>
    <col min="13" max="17" width="10.8984375" style="5"/>
    <col min="18" max="18" width="9.8984375" style="5" customWidth="1"/>
    <col min="19" max="16384" width="10.8984375" style="5"/>
  </cols>
  <sheetData>
    <row r="1" spans="1:17" s="7" customFormat="1" ht="18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7" s="7" customFormat="1" ht="18" x14ac:dyDescent="0.35">
      <c r="A2" s="85" t="s">
        <v>30</v>
      </c>
      <c r="B2" s="85"/>
      <c r="C2" s="85"/>
      <c r="D2" s="85"/>
      <c r="E2" s="85"/>
      <c r="F2" s="85"/>
      <c r="G2" s="85"/>
      <c r="H2" s="85"/>
      <c r="I2" s="81" t="s">
        <v>18</v>
      </c>
      <c r="J2" s="85"/>
      <c r="K2" s="95">
        <v>100</v>
      </c>
      <c r="L2" s="96"/>
      <c r="P2" s="32" t="s">
        <v>19</v>
      </c>
      <c r="Q2" s="34"/>
    </row>
    <row r="3" spans="1:17" ht="18.600000000000001" thickBot="1" x14ac:dyDescent="0.4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P3" s="33" t="s">
        <v>14</v>
      </c>
      <c r="Q3" s="34"/>
    </row>
    <row r="4" spans="1:17" s="6" customFormat="1" ht="18" x14ac:dyDescent="0.35">
      <c r="A4" s="12" t="s">
        <v>9</v>
      </c>
      <c r="B4" s="13"/>
      <c r="C4" s="13" t="s">
        <v>10</v>
      </c>
      <c r="D4" s="13" t="s">
        <v>20</v>
      </c>
      <c r="E4" s="89" t="s">
        <v>21</v>
      </c>
      <c r="F4" s="89"/>
      <c r="G4" s="13" t="s">
        <v>9</v>
      </c>
      <c r="H4" s="13"/>
      <c r="I4" s="13" t="s">
        <v>10</v>
      </c>
      <c r="J4" s="13" t="s">
        <v>20</v>
      </c>
      <c r="K4" s="89" t="s">
        <v>22</v>
      </c>
      <c r="L4" s="90"/>
      <c r="P4" s="33" t="s">
        <v>1</v>
      </c>
      <c r="Q4" s="34"/>
    </row>
    <row r="5" spans="1:17" s="6" customFormat="1" ht="18" x14ac:dyDescent="0.35">
      <c r="A5" s="35" t="s">
        <v>33</v>
      </c>
      <c r="B5" s="8">
        <v>3</v>
      </c>
      <c r="C5" s="8"/>
      <c r="D5" s="8"/>
      <c r="E5" s="40">
        <v>300</v>
      </c>
      <c r="F5" s="41"/>
      <c r="G5" s="9"/>
      <c r="H5" s="9"/>
      <c r="I5" s="8"/>
      <c r="J5" s="8"/>
      <c r="K5" s="27"/>
      <c r="L5" s="42"/>
      <c r="P5" s="33" t="s">
        <v>15</v>
      </c>
      <c r="Q5" s="34"/>
    </row>
    <row r="6" spans="1:17" ht="18" x14ac:dyDescent="0.35">
      <c r="A6" s="14"/>
      <c r="B6" s="9"/>
      <c r="C6" s="9"/>
      <c r="D6" s="9"/>
      <c r="E6" s="9"/>
      <c r="F6" s="9"/>
      <c r="G6" s="9"/>
      <c r="H6" s="9"/>
      <c r="I6" s="9"/>
      <c r="J6" s="8"/>
      <c r="K6" s="43"/>
      <c r="L6" s="42"/>
      <c r="P6" s="33" t="s">
        <v>23</v>
      </c>
      <c r="Q6" s="34"/>
    </row>
    <row r="7" spans="1:17" ht="18" x14ac:dyDescent="0.35">
      <c r="A7" s="14"/>
      <c r="B7" s="9"/>
      <c r="C7" s="9"/>
      <c r="D7" s="9"/>
      <c r="E7" s="9"/>
      <c r="F7" s="9"/>
      <c r="G7" s="9"/>
      <c r="H7" s="9"/>
      <c r="I7" s="9"/>
      <c r="J7" s="8"/>
      <c r="K7" s="27"/>
      <c r="L7" s="42"/>
      <c r="P7" s="33" t="s">
        <v>8</v>
      </c>
      <c r="Q7" s="34"/>
    </row>
    <row r="8" spans="1:17" x14ac:dyDescent="0.35">
      <c r="A8" s="14"/>
      <c r="B8" s="9"/>
      <c r="C8" s="9"/>
      <c r="D8" s="9"/>
      <c r="E8" s="9"/>
      <c r="F8" s="9"/>
      <c r="G8" s="9"/>
      <c r="H8" s="9"/>
      <c r="I8" s="9"/>
      <c r="J8" s="9"/>
      <c r="K8" s="9"/>
      <c r="L8" s="44"/>
    </row>
    <row r="9" spans="1:17" x14ac:dyDescent="0.35">
      <c r="A9" s="14"/>
      <c r="B9" s="9"/>
      <c r="C9" s="9"/>
      <c r="D9" s="9"/>
      <c r="E9" s="9"/>
      <c r="F9" s="9"/>
      <c r="G9" s="9"/>
      <c r="H9" s="9"/>
      <c r="I9" s="9"/>
      <c r="J9" s="9"/>
      <c r="K9" s="9"/>
      <c r="L9" s="44"/>
    </row>
    <row r="10" spans="1:17" x14ac:dyDescent="0.35">
      <c r="A10" s="14"/>
      <c r="B10" s="9"/>
      <c r="C10" s="9"/>
      <c r="D10" s="9"/>
      <c r="E10" s="9"/>
      <c r="F10" s="9"/>
      <c r="G10" s="9"/>
      <c r="H10" s="9"/>
      <c r="I10" s="9"/>
      <c r="J10" s="9"/>
      <c r="K10" s="9"/>
      <c r="L10" s="44"/>
    </row>
    <row r="11" spans="1:17" x14ac:dyDescent="0.3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44"/>
    </row>
    <row r="12" spans="1:17" ht="18" thickBot="1" x14ac:dyDescent="0.4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45"/>
    </row>
    <row r="13" spans="1:17" x14ac:dyDescent="0.35">
      <c r="A13" s="91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7" ht="18.600000000000001" thickBot="1" x14ac:dyDescent="0.4">
      <c r="A14" s="81" t="s">
        <v>29</v>
      </c>
      <c r="B14" s="85"/>
      <c r="C14" s="85"/>
      <c r="D14" s="85"/>
      <c r="E14" s="85"/>
      <c r="F14" s="85"/>
      <c r="G14" s="85"/>
      <c r="H14" s="85"/>
      <c r="I14" s="81" t="s">
        <v>18</v>
      </c>
      <c r="J14" s="85"/>
      <c r="K14" s="95">
        <v>101</v>
      </c>
      <c r="L14" s="96"/>
    </row>
    <row r="15" spans="1:17" ht="18" thickBot="1" x14ac:dyDescent="0.4">
      <c r="A15" s="10" t="s">
        <v>9</v>
      </c>
      <c r="B15" s="11"/>
      <c r="C15" s="11" t="s">
        <v>10</v>
      </c>
      <c r="D15" s="11" t="s">
        <v>20</v>
      </c>
      <c r="E15" s="87" t="s">
        <v>21</v>
      </c>
      <c r="F15" s="87"/>
      <c r="G15" s="11" t="s">
        <v>9</v>
      </c>
      <c r="H15" s="11"/>
      <c r="I15" s="11" t="s">
        <v>10</v>
      </c>
      <c r="J15" s="11" t="s">
        <v>20</v>
      </c>
      <c r="K15" s="97" t="s">
        <v>22</v>
      </c>
      <c r="L15" s="98"/>
    </row>
    <row r="16" spans="1:17" x14ac:dyDescent="0.35">
      <c r="A16" s="14" t="s">
        <v>33</v>
      </c>
      <c r="B16">
        <v>1</v>
      </c>
      <c r="C16" s="9"/>
      <c r="D16" s="8"/>
      <c r="E16" s="106">
        <v>185000</v>
      </c>
      <c r="F16" s="9"/>
      <c r="G16" s="9" t="s">
        <v>33</v>
      </c>
      <c r="H16" s="105">
        <v>3</v>
      </c>
      <c r="I16" s="9"/>
      <c r="J16" s="9">
        <v>80</v>
      </c>
      <c r="K16" s="107">
        <v>300</v>
      </c>
      <c r="L16" s="44"/>
    </row>
    <row r="17" spans="1:12" x14ac:dyDescent="0.35">
      <c r="A17" s="14" t="s">
        <v>33</v>
      </c>
      <c r="B17">
        <v>13</v>
      </c>
      <c r="C17" s="9"/>
      <c r="D17" s="9"/>
      <c r="E17" s="107">
        <v>3787.8</v>
      </c>
      <c r="F17" s="9"/>
      <c r="G17" s="9" t="s">
        <v>33</v>
      </c>
      <c r="H17" s="105">
        <v>5</v>
      </c>
      <c r="I17" s="9"/>
      <c r="J17" s="9">
        <v>80</v>
      </c>
      <c r="K17" s="107">
        <v>5992</v>
      </c>
      <c r="L17" s="44"/>
    </row>
    <row r="18" spans="1:12" x14ac:dyDescent="0.35">
      <c r="A18" s="14" t="s">
        <v>33</v>
      </c>
      <c r="B18">
        <v>23</v>
      </c>
      <c r="C18" s="9"/>
      <c r="D18" s="9"/>
      <c r="E18" s="107">
        <v>8838.2000000000007</v>
      </c>
      <c r="F18" s="9"/>
      <c r="G18" s="9" t="s">
        <v>33</v>
      </c>
      <c r="H18" s="105">
        <v>15</v>
      </c>
      <c r="I18" s="9"/>
      <c r="J18" s="9">
        <v>80</v>
      </c>
      <c r="K18" s="107">
        <v>5900</v>
      </c>
      <c r="L18" s="44"/>
    </row>
    <row r="19" spans="1:12" x14ac:dyDescent="0.35">
      <c r="A19" s="14"/>
      <c r="B19"/>
      <c r="C19" s="9"/>
      <c r="D19" s="9"/>
      <c r="E19" s="9"/>
      <c r="F19" s="9"/>
      <c r="G19" s="9" t="s">
        <v>33</v>
      </c>
      <c r="H19" s="105">
        <v>19</v>
      </c>
      <c r="I19" s="9"/>
      <c r="J19" s="9">
        <v>80</v>
      </c>
      <c r="K19" s="107">
        <v>801.43</v>
      </c>
      <c r="L19" s="44"/>
    </row>
    <row r="20" spans="1:12" x14ac:dyDescent="0.35">
      <c r="A20" s="14"/>
      <c r="B20" s="9"/>
      <c r="C20" s="9"/>
      <c r="D20" s="9"/>
      <c r="E20" s="9"/>
      <c r="F20" s="9"/>
      <c r="G20" s="9" t="s">
        <v>33</v>
      </c>
      <c r="H20" s="105">
        <v>26</v>
      </c>
      <c r="I20" s="9"/>
      <c r="J20" s="9">
        <v>80</v>
      </c>
      <c r="K20" s="107">
        <v>1500</v>
      </c>
      <c r="L20" s="44"/>
    </row>
    <row r="21" spans="1:12" x14ac:dyDescent="0.35">
      <c r="A21" s="14"/>
      <c r="B21" s="9"/>
      <c r="C21" s="9"/>
      <c r="D21" s="9"/>
      <c r="E21" s="9"/>
      <c r="F21" s="9"/>
      <c r="G21" s="9" t="s">
        <v>33</v>
      </c>
      <c r="H21" s="105">
        <v>28</v>
      </c>
      <c r="I21" s="9"/>
      <c r="J21" s="9">
        <v>80</v>
      </c>
      <c r="K21" s="107">
        <v>620</v>
      </c>
      <c r="L21" s="44"/>
    </row>
    <row r="22" spans="1:12" ht="18" thickBot="1" x14ac:dyDescent="0.4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45"/>
    </row>
    <row r="24" spans="1:12" ht="18.600000000000001" thickBot="1" x14ac:dyDescent="0.4">
      <c r="A24" s="81" t="s">
        <v>45</v>
      </c>
      <c r="B24" s="85"/>
      <c r="C24" s="85"/>
      <c r="D24" s="85"/>
      <c r="E24" s="85"/>
      <c r="F24" s="85"/>
      <c r="G24" s="85"/>
      <c r="H24" s="85"/>
      <c r="I24" s="81" t="s">
        <v>18</v>
      </c>
      <c r="J24" s="85"/>
      <c r="K24" s="86">
        <v>102</v>
      </c>
      <c r="L24" s="86"/>
    </row>
    <row r="25" spans="1:12" ht="18" thickBot="1" x14ac:dyDescent="0.4">
      <c r="A25" s="10" t="s">
        <v>9</v>
      </c>
      <c r="B25" s="11"/>
      <c r="C25" s="11" t="s">
        <v>10</v>
      </c>
      <c r="D25" s="11" t="s">
        <v>20</v>
      </c>
      <c r="E25" s="87" t="s">
        <v>21</v>
      </c>
      <c r="F25" s="87"/>
      <c r="G25" s="11" t="s">
        <v>9</v>
      </c>
      <c r="H25" s="11"/>
      <c r="I25" s="11" t="s">
        <v>10</v>
      </c>
      <c r="J25" s="11" t="s">
        <v>20</v>
      </c>
      <c r="K25" s="87" t="s">
        <v>22</v>
      </c>
      <c r="L25" s="88"/>
    </row>
    <row r="26" spans="1:12" x14ac:dyDescent="0.35">
      <c r="A26" s="14"/>
      <c r="B26" s="9">
        <v>13</v>
      </c>
      <c r="C26" s="9"/>
      <c r="D26" s="9">
        <v>80</v>
      </c>
      <c r="E26" s="107">
        <v>8838.2000000000007</v>
      </c>
      <c r="F26" s="9"/>
      <c r="G26" s="9" t="s">
        <v>33</v>
      </c>
      <c r="H26" s="9">
        <v>23</v>
      </c>
      <c r="I26" s="9"/>
      <c r="J26" s="5">
        <v>80</v>
      </c>
      <c r="K26" s="107">
        <v>8838.2000000000007</v>
      </c>
      <c r="L26" s="44"/>
    </row>
    <row r="27" spans="1:12" x14ac:dyDescent="0.35">
      <c r="A27" s="14"/>
      <c r="B27" s="9"/>
      <c r="C27" s="9"/>
      <c r="D27" s="9"/>
      <c r="E27" s="9"/>
      <c r="F27" s="9"/>
      <c r="G27" s="9"/>
      <c r="H27" s="9"/>
      <c r="I27" s="9"/>
      <c r="J27" s="9"/>
      <c r="K27" s="9"/>
      <c r="L27" s="44"/>
    </row>
    <row r="28" spans="1:12" x14ac:dyDescent="0.35">
      <c r="A28" s="14"/>
      <c r="B28" s="9"/>
      <c r="C28" s="9"/>
      <c r="D28" s="9"/>
      <c r="E28" s="9"/>
      <c r="F28" s="9"/>
      <c r="G28" s="9"/>
      <c r="H28" s="9"/>
      <c r="I28" s="9"/>
      <c r="J28" s="9"/>
      <c r="K28" s="9"/>
      <c r="L28" s="44"/>
    </row>
    <row r="29" spans="1:12" x14ac:dyDescent="0.35">
      <c r="A29" s="14"/>
      <c r="B29" s="9"/>
      <c r="C29" s="9"/>
      <c r="D29" s="9"/>
      <c r="E29" s="9"/>
      <c r="F29" s="9"/>
      <c r="G29" s="9"/>
      <c r="H29" s="9"/>
      <c r="I29" s="9"/>
      <c r="J29" s="9"/>
      <c r="K29" s="9"/>
      <c r="L29" s="44"/>
    </row>
    <row r="30" spans="1:12" x14ac:dyDescent="0.35">
      <c r="A30" s="14"/>
      <c r="B30" s="9"/>
      <c r="C30" s="9"/>
      <c r="D30" s="9"/>
      <c r="E30" s="9"/>
      <c r="F30" s="9"/>
      <c r="G30" s="9"/>
      <c r="H30" s="9"/>
      <c r="I30" s="9"/>
      <c r="J30" s="9"/>
      <c r="K30" s="9"/>
      <c r="L30" s="44"/>
    </row>
    <row r="31" spans="1:12" x14ac:dyDescent="0.35">
      <c r="A31" s="14"/>
      <c r="B31" s="9"/>
      <c r="C31" s="9"/>
      <c r="D31" s="9"/>
      <c r="E31" s="9"/>
      <c r="F31" s="9"/>
      <c r="G31" s="9"/>
      <c r="H31" s="9"/>
      <c r="I31" s="9"/>
      <c r="J31" s="9"/>
      <c r="K31" s="9"/>
      <c r="L31" s="44"/>
    </row>
    <row r="32" spans="1:12" ht="18" thickBot="1" x14ac:dyDescent="0.4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45"/>
    </row>
    <row r="34" spans="1:12" ht="18.600000000000001" thickBot="1" x14ac:dyDescent="0.4">
      <c r="A34" s="81" t="s">
        <v>75</v>
      </c>
      <c r="B34" s="85"/>
      <c r="C34" s="85"/>
      <c r="D34" s="85"/>
      <c r="E34" s="85"/>
      <c r="F34" s="85"/>
      <c r="G34" s="85"/>
      <c r="H34" s="85"/>
      <c r="I34" s="81" t="s">
        <v>18</v>
      </c>
      <c r="J34" s="85"/>
      <c r="K34" s="86">
        <v>103</v>
      </c>
      <c r="L34" s="86"/>
    </row>
    <row r="35" spans="1:12" ht="18" thickBot="1" x14ac:dyDescent="0.4">
      <c r="A35" s="10" t="s">
        <v>9</v>
      </c>
      <c r="B35" s="11"/>
      <c r="C35" s="11" t="s">
        <v>10</v>
      </c>
      <c r="D35" s="11" t="s">
        <v>20</v>
      </c>
      <c r="E35" s="87" t="s">
        <v>21</v>
      </c>
      <c r="F35" s="87"/>
      <c r="G35" s="11" t="s">
        <v>9</v>
      </c>
      <c r="H35" s="11"/>
      <c r="I35" s="11" t="s">
        <v>10</v>
      </c>
      <c r="J35" s="11" t="s">
        <v>20</v>
      </c>
      <c r="K35" s="87" t="s">
        <v>22</v>
      </c>
      <c r="L35" s="88"/>
    </row>
    <row r="36" spans="1:12" x14ac:dyDescent="0.35">
      <c r="A36" s="14"/>
      <c r="B36" s="9">
        <v>15</v>
      </c>
      <c r="C36" s="9"/>
      <c r="D36" s="8">
        <v>80</v>
      </c>
      <c r="E36" s="47">
        <v>5600</v>
      </c>
      <c r="F36" s="9"/>
      <c r="G36" s="9"/>
      <c r="H36" s="9"/>
      <c r="I36" s="9"/>
      <c r="J36" s="9"/>
      <c r="K36" s="9"/>
      <c r="L36" s="44"/>
    </row>
    <row r="37" spans="1:12" x14ac:dyDescent="0.35">
      <c r="A37" s="14"/>
      <c r="B37" s="9"/>
      <c r="C37" s="9"/>
      <c r="D37" s="9"/>
      <c r="E37" s="9"/>
      <c r="F37" s="9"/>
      <c r="G37" s="9"/>
      <c r="H37" s="9"/>
      <c r="I37" s="9"/>
      <c r="J37" s="9"/>
      <c r="K37" s="9"/>
      <c r="L37" s="44"/>
    </row>
    <row r="38" spans="1:12" x14ac:dyDescent="0.35">
      <c r="A38" s="14"/>
      <c r="B38" s="9"/>
      <c r="C38" s="9"/>
      <c r="D38" s="9"/>
      <c r="E38" s="9"/>
      <c r="F38" s="9"/>
      <c r="G38" s="9"/>
      <c r="H38" s="9"/>
      <c r="I38" s="9"/>
      <c r="J38" s="9"/>
      <c r="K38" s="9"/>
      <c r="L38" s="44"/>
    </row>
    <row r="39" spans="1:12" x14ac:dyDescent="0.35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44"/>
    </row>
    <row r="40" spans="1:12" x14ac:dyDescent="0.35">
      <c r="A40" s="14"/>
      <c r="B40" s="9"/>
      <c r="C40" s="9"/>
      <c r="D40" s="9"/>
      <c r="E40" s="9"/>
      <c r="F40" s="9"/>
      <c r="G40" s="9"/>
      <c r="H40" s="9"/>
      <c r="I40" s="9"/>
      <c r="J40" s="9"/>
      <c r="K40" s="9"/>
      <c r="L40" s="44"/>
    </row>
    <row r="41" spans="1:12" x14ac:dyDescent="0.35">
      <c r="A41" s="14"/>
      <c r="B41" s="9"/>
      <c r="C41" s="9"/>
      <c r="D41" s="9"/>
      <c r="E41" s="9"/>
      <c r="F41" s="9"/>
      <c r="G41" s="9"/>
      <c r="H41" s="9"/>
      <c r="I41" s="9"/>
      <c r="J41" s="9"/>
      <c r="K41" s="9"/>
      <c r="L41" s="44"/>
    </row>
    <row r="42" spans="1:12" x14ac:dyDescent="0.35">
      <c r="A42" s="14"/>
      <c r="B42" s="9"/>
      <c r="C42" s="9"/>
      <c r="D42" s="9"/>
      <c r="E42" s="9"/>
      <c r="F42" s="9"/>
      <c r="G42" s="9"/>
      <c r="H42" s="9"/>
      <c r="I42" s="9"/>
      <c r="J42" s="9"/>
      <c r="K42" s="9"/>
      <c r="L42" s="44"/>
    </row>
    <row r="43" spans="1:12" x14ac:dyDescent="0.35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44"/>
    </row>
    <row r="44" spans="1:12" ht="18" thickBot="1" x14ac:dyDescent="0.4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45"/>
    </row>
    <row r="46" spans="1:12" ht="18.600000000000001" thickBot="1" x14ac:dyDescent="0.4">
      <c r="A46" s="81" t="s">
        <v>76</v>
      </c>
      <c r="B46" s="85"/>
      <c r="C46" s="85"/>
      <c r="D46" s="85"/>
      <c r="E46" s="85"/>
      <c r="F46" s="85"/>
      <c r="G46" s="85"/>
      <c r="H46" s="85"/>
      <c r="I46" s="81" t="s">
        <v>18</v>
      </c>
      <c r="J46" s="85"/>
      <c r="K46" s="86">
        <v>104</v>
      </c>
      <c r="L46" s="86"/>
    </row>
    <row r="47" spans="1:12" ht="18" thickBot="1" x14ac:dyDescent="0.4">
      <c r="A47" s="10" t="s">
        <v>9</v>
      </c>
      <c r="B47" s="11"/>
      <c r="C47" s="11" t="s">
        <v>10</v>
      </c>
      <c r="D47" s="11" t="s">
        <v>20</v>
      </c>
      <c r="E47" s="87" t="s">
        <v>21</v>
      </c>
      <c r="F47" s="87"/>
      <c r="G47" s="11" t="s">
        <v>9</v>
      </c>
      <c r="H47" s="11"/>
      <c r="I47" s="11" t="s">
        <v>10</v>
      </c>
      <c r="J47" s="11" t="s">
        <v>20</v>
      </c>
      <c r="K47" s="87" t="s">
        <v>22</v>
      </c>
      <c r="L47" s="88"/>
    </row>
    <row r="48" spans="1:12" x14ac:dyDescent="0.35">
      <c r="A48" s="14" t="s">
        <v>33</v>
      </c>
      <c r="B48" s="9">
        <v>9</v>
      </c>
      <c r="C48" s="9"/>
      <c r="D48" s="8">
        <v>80</v>
      </c>
      <c r="E48" s="46">
        <v>3400</v>
      </c>
      <c r="F48" s="9"/>
      <c r="G48" s="9"/>
      <c r="H48" s="9"/>
      <c r="I48" s="9"/>
      <c r="J48" s="9"/>
      <c r="K48" s="9"/>
      <c r="L48" s="44"/>
    </row>
    <row r="49" spans="1:12" x14ac:dyDescent="0.35">
      <c r="A49" s="14"/>
      <c r="B49" s="9"/>
      <c r="C49" s="9"/>
      <c r="D49" s="9"/>
      <c r="E49" s="9"/>
      <c r="F49" s="9"/>
      <c r="G49" s="9"/>
      <c r="H49" s="9"/>
      <c r="I49" s="9"/>
      <c r="J49" s="9"/>
      <c r="K49" s="9"/>
      <c r="L49" s="44"/>
    </row>
    <row r="50" spans="1:12" x14ac:dyDescent="0.35">
      <c r="A50" s="14"/>
      <c r="B50" s="9"/>
      <c r="C50" s="9"/>
      <c r="D50" s="9"/>
      <c r="E50" s="9"/>
      <c r="F50" s="9"/>
      <c r="G50" s="9"/>
      <c r="H50" s="9"/>
      <c r="I50" s="9"/>
      <c r="J50" s="9"/>
      <c r="K50" s="9"/>
      <c r="L50" s="44"/>
    </row>
    <row r="51" spans="1:12" x14ac:dyDescent="0.35">
      <c r="A51" s="14"/>
      <c r="B51" s="9"/>
      <c r="C51" s="9"/>
      <c r="D51" s="9"/>
      <c r="E51" s="9"/>
      <c r="F51" s="9"/>
      <c r="G51" s="9"/>
      <c r="H51" s="9"/>
      <c r="I51" s="9"/>
      <c r="J51" s="9"/>
      <c r="K51" s="9"/>
      <c r="L51" s="44"/>
    </row>
    <row r="52" spans="1:12" x14ac:dyDescent="0.35">
      <c r="A52" s="14"/>
      <c r="B52" s="9"/>
      <c r="C52" s="9"/>
      <c r="D52" s="9"/>
      <c r="E52" s="9"/>
      <c r="F52" s="9"/>
      <c r="G52" s="9"/>
      <c r="H52" s="9"/>
      <c r="I52" s="9"/>
      <c r="J52" s="9"/>
      <c r="K52" s="9"/>
      <c r="L52" s="44"/>
    </row>
    <row r="53" spans="1:12" x14ac:dyDescent="0.35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44"/>
    </row>
    <row r="54" spans="1:12" x14ac:dyDescent="0.35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44"/>
    </row>
    <row r="55" spans="1:12" x14ac:dyDescent="0.35">
      <c r="A55" s="14"/>
      <c r="B55" s="9"/>
      <c r="C55" s="9"/>
      <c r="D55" s="9"/>
      <c r="E55" s="9"/>
      <c r="F55" s="9"/>
      <c r="G55" s="9"/>
      <c r="H55" s="9"/>
      <c r="I55" s="9"/>
      <c r="J55" s="9"/>
      <c r="K55" s="9"/>
      <c r="L55" s="44"/>
    </row>
    <row r="56" spans="1:12" ht="18" thickBot="1" x14ac:dyDescent="0.4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45"/>
    </row>
    <row r="58" spans="1:12" ht="18.600000000000001" thickBot="1" x14ac:dyDescent="0.4">
      <c r="A58" s="81" t="s">
        <v>16</v>
      </c>
      <c r="B58" s="85"/>
      <c r="C58" s="85"/>
      <c r="D58" s="85"/>
      <c r="E58" s="85"/>
      <c r="F58" s="85"/>
      <c r="G58" s="85"/>
      <c r="H58" s="85"/>
      <c r="I58" s="81" t="s">
        <v>18</v>
      </c>
      <c r="J58" s="85"/>
      <c r="K58" s="86">
        <v>200</v>
      </c>
      <c r="L58" s="86"/>
    </row>
    <row r="59" spans="1:12" ht="18" thickBot="1" x14ac:dyDescent="0.4">
      <c r="A59" s="10" t="s">
        <v>9</v>
      </c>
      <c r="B59" s="11"/>
      <c r="C59" s="11" t="s">
        <v>10</v>
      </c>
      <c r="D59" s="11" t="s">
        <v>20</v>
      </c>
      <c r="E59" s="87" t="s">
        <v>21</v>
      </c>
      <c r="F59" s="87"/>
      <c r="G59" s="11" t="s">
        <v>9</v>
      </c>
      <c r="H59" s="11"/>
      <c r="I59" s="11" t="s">
        <v>10</v>
      </c>
      <c r="J59" s="11" t="s">
        <v>20</v>
      </c>
      <c r="K59" s="87" t="s">
        <v>22</v>
      </c>
      <c r="L59" s="88"/>
    </row>
    <row r="60" spans="1:12" x14ac:dyDescent="0.35">
      <c r="A60" s="14" t="s">
        <v>33</v>
      </c>
      <c r="B60" s="9">
        <v>26</v>
      </c>
      <c r="C60" s="9"/>
      <c r="D60" s="9">
        <v>80</v>
      </c>
      <c r="E60" s="9">
        <v>1500</v>
      </c>
      <c r="F60" s="9"/>
      <c r="G60" s="9" t="s">
        <v>33</v>
      </c>
      <c r="H60" s="9">
        <v>9</v>
      </c>
      <c r="I60" s="9"/>
      <c r="J60" s="8">
        <v>80</v>
      </c>
      <c r="K60" s="19">
        <v>3638</v>
      </c>
      <c r="L60" s="44"/>
    </row>
    <row r="61" spans="1:12" x14ac:dyDescent="0.35">
      <c r="A61" s="14"/>
      <c r="B61" s="9"/>
      <c r="C61" s="9"/>
      <c r="D61" s="9"/>
      <c r="E61" s="9"/>
      <c r="F61" s="9"/>
      <c r="G61" s="9"/>
      <c r="H61" s="9"/>
      <c r="I61" s="9"/>
      <c r="J61" s="8"/>
      <c r="K61" s="25"/>
      <c r="L61" s="44"/>
    </row>
    <row r="62" spans="1:12" x14ac:dyDescent="0.35">
      <c r="A62" s="14"/>
      <c r="B62" s="9"/>
      <c r="C62" s="9"/>
      <c r="D62" s="8"/>
      <c r="E62" s="38"/>
      <c r="F62" s="9"/>
      <c r="G62" s="9"/>
      <c r="H62" s="9"/>
      <c r="I62" s="9"/>
      <c r="J62" s="9"/>
      <c r="K62" s="9"/>
      <c r="L62" s="44"/>
    </row>
    <row r="63" spans="1:12" x14ac:dyDescent="0.35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44"/>
    </row>
    <row r="64" spans="1:12" x14ac:dyDescent="0.35">
      <c r="A64" s="14"/>
      <c r="B64" s="9"/>
      <c r="C64" s="9"/>
      <c r="D64" s="9"/>
      <c r="E64" s="9"/>
      <c r="F64" s="9"/>
      <c r="G64" s="9"/>
      <c r="H64" s="9"/>
      <c r="I64" s="9"/>
      <c r="J64" s="9"/>
      <c r="K64" s="9"/>
      <c r="L64" s="44"/>
    </row>
    <row r="65" spans="1:12" x14ac:dyDescent="0.35">
      <c r="A65" s="14"/>
      <c r="B65" s="9"/>
      <c r="C65" s="9"/>
      <c r="D65" s="9"/>
      <c r="E65" s="9"/>
      <c r="F65" s="9"/>
      <c r="G65" s="9"/>
      <c r="H65" s="9"/>
      <c r="I65" s="9"/>
      <c r="J65" s="9"/>
      <c r="K65" s="9"/>
      <c r="L65" s="44"/>
    </row>
    <row r="66" spans="1:12" x14ac:dyDescent="0.35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44"/>
    </row>
    <row r="67" spans="1:12" x14ac:dyDescent="0.35">
      <c r="A67" s="14"/>
      <c r="B67" s="9"/>
      <c r="C67" s="9"/>
      <c r="D67" s="9"/>
      <c r="E67" s="9"/>
      <c r="F67" s="9"/>
      <c r="G67" s="9"/>
      <c r="H67" s="9"/>
      <c r="I67" s="9"/>
      <c r="J67" s="9"/>
      <c r="K67" s="9"/>
      <c r="L67" s="44"/>
    </row>
    <row r="68" spans="1:12" ht="18" thickBot="1" x14ac:dyDescent="0.4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45"/>
    </row>
    <row r="70" spans="1:12" ht="18.600000000000001" thickBot="1" x14ac:dyDescent="0.4">
      <c r="A70" s="81" t="s">
        <v>46</v>
      </c>
      <c r="B70" s="85"/>
      <c r="C70" s="85"/>
      <c r="D70" s="85"/>
      <c r="E70" s="85"/>
      <c r="F70" s="85"/>
      <c r="G70" s="85"/>
      <c r="H70" s="85"/>
      <c r="I70" s="81" t="s">
        <v>18</v>
      </c>
      <c r="J70" s="85"/>
      <c r="K70" s="86">
        <v>201</v>
      </c>
      <c r="L70" s="86"/>
    </row>
    <row r="71" spans="1:12" ht="18" thickBot="1" x14ac:dyDescent="0.4">
      <c r="A71" s="10" t="s">
        <v>9</v>
      </c>
      <c r="B71" s="11"/>
      <c r="C71" s="11" t="s">
        <v>10</v>
      </c>
      <c r="D71" s="11" t="s">
        <v>20</v>
      </c>
      <c r="E71" s="87" t="s">
        <v>21</v>
      </c>
      <c r="F71" s="87"/>
      <c r="G71" s="11" t="s">
        <v>9</v>
      </c>
      <c r="H71" s="11"/>
      <c r="I71" s="11" t="s">
        <v>10</v>
      </c>
      <c r="J71" s="11" t="s">
        <v>20</v>
      </c>
      <c r="K71" s="87" t="s">
        <v>22</v>
      </c>
      <c r="L71" s="88"/>
    </row>
    <row r="72" spans="1:12" x14ac:dyDescent="0.35">
      <c r="A72" s="14"/>
      <c r="B72" s="9"/>
      <c r="C72" s="9"/>
      <c r="D72" s="9"/>
      <c r="E72" s="9"/>
      <c r="F72" s="9"/>
      <c r="G72" s="9" t="s">
        <v>77</v>
      </c>
      <c r="H72" s="9">
        <v>13</v>
      </c>
      <c r="I72" s="9"/>
      <c r="J72" s="8">
        <v>80</v>
      </c>
      <c r="K72" s="46">
        <v>826</v>
      </c>
      <c r="L72" s="44"/>
    </row>
    <row r="73" spans="1:12" x14ac:dyDescent="0.35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44"/>
    </row>
    <row r="74" spans="1:12" x14ac:dyDescent="0.35">
      <c r="A74" s="14"/>
      <c r="B74" s="9"/>
      <c r="C74" s="9"/>
      <c r="D74" s="9"/>
      <c r="E74" s="9"/>
      <c r="F74" s="9"/>
      <c r="G74" s="9"/>
      <c r="H74" s="9"/>
      <c r="I74" s="9"/>
      <c r="J74" s="9"/>
      <c r="K74" s="9"/>
      <c r="L74" s="44"/>
    </row>
    <row r="75" spans="1:12" x14ac:dyDescent="0.35">
      <c r="A75" s="14"/>
      <c r="B75" s="9"/>
      <c r="C75" s="9"/>
      <c r="D75" s="9"/>
      <c r="E75" s="9"/>
      <c r="F75" s="9"/>
      <c r="G75" s="9"/>
      <c r="H75" s="9"/>
      <c r="I75" s="9"/>
      <c r="J75" s="9"/>
      <c r="K75" s="9"/>
      <c r="L75" s="44"/>
    </row>
    <row r="76" spans="1:12" x14ac:dyDescent="0.35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44"/>
    </row>
    <row r="77" spans="1:12" x14ac:dyDescent="0.35">
      <c r="A77" s="14"/>
      <c r="B77" s="9"/>
      <c r="C77" s="9"/>
      <c r="D77" s="9"/>
      <c r="E77" s="9"/>
      <c r="F77" s="9"/>
      <c r="G77" s="9"/>
      <c r="H77" s="9"/>
      <c r="I77" s="9"/>
      <c r="J77" s="9"/>
      <c r="K77" s="9"/>
      <c r="L77" s="44"/>
    </row>
    <row r="78" spans="1:12" x14ac:dyDescent="0.35">
      <c r="A78" s="14"/>
      <c r="B78" s="9"/>
      <c r="C78" s="9"/>
      <c r="D78" s="9"/>
      <c r="E78" s="9"/>
      <c r="F78" s="9"/>
      <c r="G78" s="9"/>
      <c r="H78" s="9"/>
      <c r="I78" s="9"/>
      <c r="J78" s="9"/>
      <c r="K78" s="9"/>
      <c r="L78" s="44"/>
    </row>
    <row r="79" spans="1:12" x14ac:dyDescent="0.35">
      <c r="A79" s="14"/>
      <c r="B79" s="9"/>
      <c r="C79" s="9"/>
      <c r="D79" s="9"/>
      <c r="E79" s="9"/>
      <c r="F79" s="9"/>
      <c r="G79" s="9"/>
      <c r="H79" s="9"/>
      <c r="I79" s="9"/>
      <c r="J79" s="9"/>
      <c r="K79" s="9"/>
      <c r="L79" s="44"/>
    </row>
    <row r="80" spans="1:12" ht="18" thickBot="1" x14ac:dyDescent="0.4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45"/>
    </row>
    <row r="82" spans="1:12" ht="18.600000000000001" thickBot="1" x14ac:dyDescent="0.4">
      <c r="A82" s="81" t="s">
        <v>1</v>
      </c>
      <c r="B82" s="85"/>
      <c r="C82" s="85"/>
      <c r="D82" s="85"/>
      <c r="E82" s="85"/>
      <c r="F82" s="85"/>
      <c r="G82" s="85"/>
      <c r="H82" s="85"/>
      <c r="I82" s="81" t="s">
        <v>18</v>
      </c>
      <c r="J82" s="85"/>
      <c r="K82" s="86">
        <v>300</v>
      </c>
      <c r="L82" s="86"/>
    </row>
    <row r="83" spans="1:12" ht="18" thickBot="1" x14ac:dyDescent="0.4">
      <c r="A83" s="10" t="s">
        <v>9</v>
      </c>
      <c r="B83" s="11"/>
      <c r="C83" s="11" t="s">
        <v>10</v>
      </c>
      <c r="D83" s="11" t="s">
        <v>20</v>
      </c>
      <c r="E83" s="87" t="s">
        <v>21</v>
      </c>
      <c r="F83" s="87"/>
      <c r="G83" s="11" t="s">
        <v>9</v>
      </c>
      <c r="H83" s="11"/>
      <c r="I83" s="11" t="s">
        <v>10</v>
      </c>
      <c r="J83" s="11" t="s">
        <v>20</v>
      </c>
      <c r="K83" s="87" t="s">
        <v>22</v>
      </c>
      <c r="L83" s="88"/>
    </row>
    <row r="84" spans="1:12" ht="18" x14ac:dyDescent="0.35">
      <c r="A84" s="14"/>
      <c r="B84" s="9"/>
      <c r="C84" s="9"/>
      <c r="D84" s="9"/>
      <c r="E84" s="9"/>
      <c r="F84" s="9"/>
      <c r="G84" s="9"/>
      <c r="H84" s="9">
        <v>1</v>
      </c>
      <c r="I84" s="9"/>
      <c r="J84" s="8">
        <v>80</v>
      </c>
      <c r="K84" s="69">
        <v>185000</v>
      </c>
      <c r="L84" s="44"/>
    </row>
    <row r="85" spans="1:12" x14ac:dyDescent="0.35">
      <c r="A85" s="14"/>
      <c r="B85" s="9"/>
      <c r="C85" s="9"/>
      <c r="D85" s="9"/>
      <c r="E85" s="9"/>
      <c r="F85" s="9"/>
      <c r="G85" s="9"/>
      <c r="H85" s="9"/>
      <c r="I85" s="9"/>
      <c r="J85" s="9"/>
      <c r="K85" s="9"/>
      <c r="L85" s="44"/>
    </row>
    <row r="86" spans="1:12" x14ac:dyDescent="0.35">
      <c r="A86" s="14"/>
      <c r="B86" s="9"/>
      <c r="C86" s="9"/>
      <c r="D86" s="9"/>
      <c r="E86" s="9"/>
      <c r="F86" s="9"/>
      <c r="G86" s="9"/>
      <c r="H86" s="9"/>
      <c r="I86" s="9"/>
      <c r="J86" s="9"/>
      <c r="K86" s="9"/>
      <c r="L86" s="44"/>
    </row>
    <row r="87" spans="1:12" x14ac:dyDescent="0.35">
      <c r="A87" s="14"/>
      <c r="B87" s="9"/>
      <c r="C87" s="9"/>
      <c r="D87" s="9"/>
      <c r="E87" s="9"/>
      <c r="F87" s="9"/>
      <c r="G87" s="9"/>
      <c r="H87" s="9"/>
      <c r="I87" s="9"/>
      <c r="J87" s="9"/>
      <c r="K87" s="9"/>
      <c r="L87" s="44"/>
    </row>
    <row r="88" spans="1:12" x14ac:dyDescent="0.35">
      <c r="A88" s="14"/>
      <c r="B88" s="9"/>
      <c r="C88" s="9"/>
      <c r="D88" s="9"/>
      <c r="E88" s="9"/>
      <c r="F88" s="9"/>
      <c r="G88" s="9"/>
      <c r="H88" s="9"/>
      <c r="I88" s="9"/>
      <c r="J88" s="9"/>
      <c r="K88" s="9"/>
      <c r="L88" s="44"/>
    </row>
    <row r="89" spans="1:12" x14ac:dyDescent="0.35">
      <c r="A89" s="14"/>
      <c r="B89" s="9"/>
      <c r="C89" s="9"/>
      <c r="D89" s="9"/>
      <c r="E89" s="9"/>
      <c r="F89" s="9"/>
      <c r="G89" s="9"/>
      <c r="H89" s="9"/>
      <c r="I89" s="9"/>
      <c r="J89" s="9"/>
      <c r="K89" s="9"/>
      <c r="L89" s="44"/>
    </row>
    <row r="90" spans="1:12" x14ac:dyDescent="0.35">
      <c r="A90" s="14"/>
      <c r="B90" s="9"/>
      <c r="C90" s="9"/>
      <c r="D90" s="9"/>
      <c r="E90" s="9"/>
      <c r="F90" s="9"/>
      <c r="G90" s="9"/>
      <c r="H90" s="9"/>
      <c r="I90" s="9"/>
      <c r="J90" s="9"/>
      <c r="K90" s="9"/>
      <c r="L90" s="44"/>
    </row>
    <row r="91" spans="1:12" x14ac:dyDescent="0.35">
      <c r="A91" s="14"/>
      <c r="B91" s="9"/>
      <c r="C91" s="9"/>
      <c r="D91" s="9"/>
      <c r="E91" s="9"/>
      <c r="F91" s="9"/>
      <c r="G91" s="9"/>
      <c r="H91" s="9"/>
      <c r="I91" s="9"/>
      <c r="J91" s="9"/>
      <c r="K91" s="9"/>
      <c r="L91" s="44"/>
    </row>
    <row r="92" spans="1:12" ht="18" thickBot="1" x14ac:dyDescent="0.4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45"/>
    </row>
    <row r="94" spans="1:12" ht="18.600000000000001" thickBot="1" x14ac:dyDescent="0.4">
      <c r="A94" s="81" t="s">
        <v>57</v>
      </c>
      <c r="B94" s="85"/>
      <c r="C94" s="85"/>
      <c r="D94" s="85"/>
      <c r="E94" s="85"/>
      <c r="F94" s="85"/>
      <c r="G94" s="85"/>
      <c r="H94" s="85"/>
      <c r="I94" s="81" t="s">
        <v>18</v>
      </c>
      <c r="J94" s="85"/>
      <c r="K94" s="86">
        <v>400</v>
      </c>
      <c r="L94" s="86"/>
    </row>
    <row r="95" spans="1:12" ht="18" thickBot="1" x14ac:dyDescent="0.4">
      <c r="A95" s="10" t="s">
        <v>9</v>
      </c>
      <c r="B95" s="11"/>
      <c r="C95" s="11" t="s">
        <v>10</v>
      </c>
      <c r="D95" s="11" t="s">
        <v>20</v>
      </c>
      <c r="E95" s="87" t="s">
        <v>21</v>
      </c>
      <c r="F95" s="87"/>
      <c r="G95" s="11" t="s">
        <v>9</v>
      </c>
      <c r="H95" s="11"/>
      <c r="I95" s="11" t="s">
        <v>10</v>
      </c>
      <c r="J95" s="11" t="s">
        <v>20</v>
      </c>
      <c r="K95" s="87" t="s">
        <v>22</v>
      </c>
      <c r="L95" s="88"/>
    </row>
    <row r="96" spans="1:12" ht="18" x14ac:dyDescent="0.35">
      <c r="A96" s="14"/>
      <c r="B96" s="9"/>
      <c r="C96" s="9"/>
      <c r="D96" s="8"/>
      <c r="E96" s="47"/>
      <c r="F96" s="9"/>
      <c r="G96" s="9" t="s">
        <v>33</v>
      </c>
      <c r="H96" s="9">
        <v>13</v>
      </c>
      <c r="I96" s="9"/>
      <c r="J96" s="9">
        <v>80</v>
      </c>
      <c r="K96" s="69">
        <v>11800</v>
      </c>
      <c r="L96" s="44"/>
    </row>
    <row r="97" spans="1:12" x14ac:dyDescent="0.35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44"/>
    </row>
    <row r="98" spans="1:12" x14ac:dyDescent="0.35">
      <c r="A98" s="14"/>
      <c r="B98" s="9"/>
      <c r="C98" s="9"/>
      <c r="D98" s="9"/>
      <c r="E98" s="9"/>
      <c r="F98" s="9"/>
      <c r="G98" s="9"/>
      <c r="H98" s="9"/>
      <c r="I98" s="9"/>
      <c r="J98" s="9"/>
      <c r="K98" s="9"/>
      <c r="L98" s="44"/>
    </row>
    <row r="99" spans="1:12" x14ac:dyDescent="0.35">
      <c r="A99" s="14"/>
      <c r="B99" s="9"/>
      <c r="C99" s="9"/>
      <c r="D99" s="9"/>
      <c r="E99" s="9"/>
      <c r="F99" s="9"/>
      <c r="G99" s="9"/>
      <c r="H99" s="9"/>
      <c r="I99" s="9"/>
      <c r="J99" s="9"/>
      <c r="K99" s="9"/>
      <c r="L99" s="44"/>
    </row>
    <row r="100" spans="1:12" x14ac:dyDescent="0.35">
      <c r="A100" s="1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44"/>
    </row>
    <row r="101" spans="1:12" x14ac:dyDescent="0.35">
      <c r="A101" s="1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44"/>
    </row>
    <row r="102" spans="1:12" x14ac:dyDescent="0.35">
      <c r="A102" s="1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44"/>
    </row>
    <row r="103" spans="1:12" x14ac:dyDescent="0.35">
      <c r="A103" s="1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44"/>
    </row>
    <row r="104" spans="1:12" ht="18" thickBot="1" x14ac:dyDescent="0.4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45"/>
    </row>
    <row r="106" spans="1:12" ht="18.600000000000001" thickBot="1" x14ac:dyDescent="0.4">
      <c r="A106" s="81" t="s">
        <v>32</v>
      </c>
      <c r="B106" s="85"/>
      <c r="C106" s="85"/>
      <c r="D106" s="85"/>
      <c r="E106" s="85"/>
      <c r="F106" s="85"/>
      <c r="G106" s="85"/>
      <c r="H106" s="85"/>
      <c r="I106" s="81" t="s">
        <v>18</v>
      </c>
      <c r="J106" s="85"/>
      <c r="K106" s="86">
        <v>600</v>
      </c>
      <c r="L106" s="86"/>
    </row>
    <row r="107" spans="1:12" ht="18" thickBot="1" x14ac:dyDescent="0.4">
      <c r="A107" s="10" t="s">
        <v>9</v>
      </c>
      <c r="B107" s="11"/>
      <c r="C107" s="11" t="s">
        <v>10</v>
      </c>
      <c r="D107" s="11" t="s">
        <v>20</v>
      </c>
      <c r="E107" s="87" t="s">
        <v>21</v>
      </c>
      <c r="F107" s="87"/>
      <c r="G107" s="11" t="s">
        <v>9</v>
      </c>
      <c r="H107" s="11"/>
      <c r="I107" s="11" t="s">
        <v>10</v>
      </c>
      <c r="J107" s="11" t="s">
        <v>20</v>
      </c>
      <c r="K107" s="87" t="s">
        <v>22</v>
      </c>
      <c r="L107" s="88"/>
    </row>
    <row r="108" spans="1:12" ht="18" x14ac:dyDescent="0.35">
      <c r="A108" s="14" t="s">
        <v>33</v>
      </c>
      <c r="B108" s="9">
        <v>15</v>
      </c>
      <c r="C108" s="9"/>
      <c r="D108" s="8">
        <v>80</v>
      </c>
      <c r="E108" s="47">
        <v>5900</v>
      </c>
      <c r="F108" s="9"/>
      <c r="G108" s="9"/>
      <c r="H108" s="9"/>
      <c r="I108" s="9"/>
      <c r="J108" s="9"/>
      <c r="K108" s="69"/>
      <c r="L108" s="44"/>
    </row>
    <row r="109" spans="1:12" x14ac:dyDescent="0.35">
      <c r="A109" s="1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44"/>
    </row>
    <row r="110" spans="1:12" x14ac:dyDescent="0.35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44"/>
    </row>
    <row r="111" spans="1:12" x14ac:dyDescent="0.35">
      <c r="A111" s="1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44"/>
    </row>
    <row r="112" spans="1:12" x14ac:dyDescent="0.35">
      <c r="A112" s="1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44"/>
    </row>
    <row r="113" spans="1:12" x14ac:dyDescent="0.35">
      <c r="A113" s="1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44"/>
    </row>
    <row r="114" spans="1:12" x14ac:dyDescent="0.35">
      <c r="A114" s="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44"/>
    </row>
    <row r="115" spans="1:12" x14ac:dyDescent="0.35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44"/>
    </row>
    <row r="116" spans="1:12" ht="18" thickBot="1" x14ac:dyDescent="0.4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45"/>
    </row>
    <row r="118" spans="1:12" ht="18.600000000000001" thickBot="1" x14ac:dyDescent="0.4">
      <c r="A118" s="81" t="s">
        <v>78</v>
      </c>
      <c r="B118" s="85"/>
      <c r="C118" s="85"/>
      <c r="D118" s="85"/>
      <c r="E118" s="85"/>
      <c r="F118" s="85"/>
      <c r="G118" s="85"/>
      <c r="H118" s="85"/>
      <c r="I118" s="81" t="s">
        <v>18</v>
      </c>
      <c r="J118" s="85"/>
      <c r="K118" s="86">
        <v>601</v>
      </c>
      <c r="L118" s="86"/>
    </row>
    <row r="119" spans="1:12" ht="18" thickBot="1" x14ac:dyDescent="0.4">
      <c r="A119" s="10" t="s">
        <v>9</v>
      </c>
      <c r="B119" s="11"/>
      <c r="C119" s="11" t="s">
        <v>10</v>
      </c>
      <c r="D119" s="11" t="s">
        <v>20</v>
      </c>
      <c r="E119" s="87" t="s">
        <v>21</v>
      </c>
      <c r="F119" s="87"/>
      <c r="G119" s="11" t="s">
        <v>9</v>
      </c>
      <c r="H119" s="11"/>
      <c r="I119" s="11" t="s">
        <v>10</v>
      </c>
      <c r="J119" s="11" t="s">
        <v>20</v>
      </c>
      <c r="K119" s="87" t="s">
        <v>22</v>
      </c>
      <c r="L119" s="88"/>
    </row>
    <row r="120" spans="1:12" ht="18" x14ac:dyDescent="0.35">
      <c r="A120" s="14" t="s">
        <v>33</v>
      </c>
      <c r="B120" s="9">
        <v>19</v>
      </c>
      <c r="C120" s="9"/>
      <c r="D120" s="8">
        <v>80</v>
      </c>
      <c r="E120" s="47">
        <v>749</v>
      </c>
      <c r="F120" s="9"/>
      <c r="G120" s="9"/>
      <c r="H120" s="9"/>
      <c r="I120" s="9"/>
      <c r="J120" s="9"/>
      <c r="K120" s="69"/>
      <c r="L120" s="44"/>
    </row>
    <row r="121" spans="1:12" x14ac:dyDescent="0.35">
      <c r="A121" s="1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44"/>
    </row>
    <row r="122" spans="1:12" x14ac:dyDescent="0.35">
      <c r="A122" s="1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44"/>
    </row>
    <row r="123" spans="1:12" x14ac:dyDescent="0.35">
      <c r="A123" s="1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44"/>
    </row>
    <row r="124" spans="1:12" x14ac:dyDescent="0.35">
      <c r="A124" s="1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44"/>
    </row>
    <row r="125" spans="1:12" x14ac:dyDescent="0.35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44"/>
    </row>
    <row r="126" spans="1:12" x14ac:dyDescent="0.35">
      <c r="A126" s="1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44"/>
    </row>
    <row r="127" spans="1:12" x14ac:dyDescent="0.35">
      <c r="A127" s="1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44"/>
    </row>
    <row r="128" spans="1:12" ht="18" thickBot="1" x14ac:dyDescent="0.4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45"/>
    </row>
    <row r="130" spans="1:12" ht="18.600000000000001" thickBot="1" x14ac:dyDescent="0.4">
      <c r="A130" s="81" t="s">
        <v>54</v>
      </c>
      <c r="B130" s="85"/>
      <c r="C130" s="85"/>
      <c r="D130" s="85"/>
      <c r="E130" s="85"/>
      <c r="F130" s="85"/>
      <c r="G130" s="85"/>
      <c r="H130" s="85"/>
      <c r="I130" s="81" t="s">
        <v>18</v>
      </c>
      <c r="J130" s="85"/>
      <c r="K130" s="86">
        <v>602</v>
      </c>
      <c r="L130" s="86"/>
    </row>
    <row r="131" spans="1:12" ht="18" thickBot="1" x14ac:dyDescent="0.4">
      <c r="A131" s="10" t="s">
        <v>9</v>
      </c>
      <c r="B131" s="11"/>
      <c r="C131" s="11" t="s">
        <v>10</v>
      </c>
      <c r="D131" s="11" t="s">
        <v>20</v>
      </c>
      <c r="E131" s="87" t="s">
        <v>21</v>
      </c>
      <c r="F131" s="87"/>
      <c r="G131" s="11" t="s">
        <v>9</v>
      </c>
      <c r="H131" s="11"/>
      <c r="I131" s="11" t="s">
        <v>10</v>
      </c>
      <c r="J131" s="11" t="s">
        <v>20</v>
      </c>
      <c r="K131" s="87" t="s">
        <v>22</v>
      </c>
      <c r="L131" s="88"/>
    </row>
    <row r="132" spans="1:12" ht="18" x14ac:dyDescent="0.35">
      <c r="A132" s="14" t="s">
        <v>33</v>
      </c>
      <c r="B132" s="9">
        <v>28</v>
      </c>
      <c r="C132" s="9"/>
      <c r="D132" s="8">
        <v>80</v>
      </c>
      <c r="E132" s="68">
        <v>580</v>
      </c>
      <c r="F132" s="9"/>
      <c r="G132" s="9"/>
      <c r="H132" s="9"/>
      <c r="I132" s="9"/>
      <c r="J132" s="9"/>
      <c r="K132" s="69"/>
      <c r="L132" s="44"/>
    </row>
    <row r="133" spans="1:12" x14ac:dyDescent="0.35">
      <c r="A133" s="1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44"/>
    </row>
    <row r="134" spans="1:12" x14ac:dyDescent="0.35">
      <c r="A134" s="1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44"/>
    </row>
    <row r="135" spans="1:12" x14ac:dyDescent="0.35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44"/>
    </row>
    <row r="136" spans="1:12" x14ac:dyDescent="0.35">
      <c r="A136" s="1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44"/>
    </row>
    <row r="137" spans="1:12" x14ac:dyDescent="0.35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44"/>
    </row>
    <row r="138" spans="1:12" x14ac:dyDescent="0.35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44"/>
    </row>
    <row r="139" spans="1:12" x14ac:dyDescent="0.35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44"/>
    </row>
    <row r="140" spans="1:12" ht="18" thickBot="1" x14ac:dyDescent="0.4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45"/>
    </row>
    <row r="142" spans="1:12" ht="18.600000000000001" thickBot="1" x14ac:dyDescent="0.4">
      <c r="A142" s="81" t="s">
        <v>31</v>
      </c>
      <c r="B142" s="85"/>
      <c r="C142" s="85"/>
      <c r="D142" s="85"/>
      <c r="E142" s="85"/>
      <c r="F142" s="85"/>
      <c r="G142" s="85"/>
      <c r="H142" s="85"/>
      <c r="I142" s="81" t="s">
        <v>18</v>
      </c>
      <c r="J142" s="85"/>
      <c r="K142" s="86">
        <v>603</v>
      </c>
      <c r="L142" s="86"/>
    </row>
    <row r="143" spans="1:12" ht="18" thickBot="1" x14ac:dyDescent="0.4">
      <c r="A143" s="10" t="s">
        <v>9</v>
      </c>
      <c r="B143" s="11"/>
      <c r="C143" s="11" t="s">
        <v>10</v>
      </c>
      <c r="D143" s="11" t="s">
        <v>20</v>
      </c>
      <c r="E143" s="87" t="s">
        <v>21</v>
      </c>
      <c r="F143" s="87"/>
      <c r="G143" s="11" t="s">
        <v>9</v>
      </c>
      <c r="H143" s="11"/>
      <c r="I143" s="11" t="s">
        <v>10</v>
      </c>
      <c r="J143" s="11" t="s">
        <v>20</v>
      </c>
      <c r="K143" s="87" t="s">
        <v>22</v>
      </c>
      <c r="L143" s="88"/>
    </row>
    <row r="144" spans="1:12" ht="18" x14ac:dyDescent="0.35">
      <c r="A144" s="14" t="s">
        <v>33</v>
      </c>
      <c r="B144">
        <v>5</v>
      </c>
      <c r="C144" s="9"/>
      <c r="D144" s="8">
        <v>80</v>
      </c>
      <c r="E144" s="108">
        <v>392</v>
      </c>
      <c r="F144" s="9"/>
      <c r="G144" s="9"/>
      <c r="H144" s="9"/>
      <c r="I144" s="9"/>
      <c r="J144" s="9"/>
      <c r="K144" s="69"/>
      <c r="L144" s="44"/>
    </row>
    <row r="145" spans="1:12" x14ac:dyDescent="0.35">
      <c r="A145" s="14" t="s">
        <v>33</v>
      </c>
      <c r="B145">
        <v>9</v>
      </c>
      <c r="C145" s="9"/>
      <c r="D145" s="8">
        <v>80</v>
      </c>
      <c r="E145" s="107">
        <v>238</v>
      </c>
      <c r="F145" s="9"/>
      <c r="G145" s="9"/>
      <c r="H145" s="9"/>
      <c r="I145" s="9"/>
      <c r="J145" s="9"/>
      <c r="K145" s="9"/>
      <c r="L145" s="44"/>
    </row>
    <row r="146" spans="1:12" x14ac:dyDescent="0.35">
      <c r="A146" s="14" t="s">
        <v>33</v>
      </c>
      <c r="B146">
        <v>19</v>
      </c>
      <c r="C146" s="9"/>
      <c r="D146" s="8">
        <v>80</v>
      </c>
      <c r="E146" s="107">
        <v>52.43</v>
      </c>
      <c r="F146" s="9"/>
      <c r="G146" s="9"/>
      <c r="H146" s="9"/>
      <c r="I146" s="9"/>
      <c r="J146" s="9"/>
      <c r="K146" s="9"/>
      <c r="L146" s="44"/>
    </row>
    <row r="147" spans="1:12" x14ac:dyDescent="0.35">
      <c r="A147" s="14" t="s">
        <v>33</v>
      </c>
      <c r="B147">
        <v>28</v>
      </c>
      <c r="C147" s="9"/>
      <c r="D147" s="8">
        <v>80</v>
      </c>
      <c r="E147" s="107">
        <v>40.6</v>
      </c>
      <c r="F147" s="9"/>
      <c r="G147" s="9"/>
      <c r="H147" s="9"/>
      <c r="I147" s="9"/>
      <c r="J147" s="9"/>
      <c r="K147" s="9"/>
      <c r="L147" s="44"/>
    </row>
    <row r="148" spans="1:12" x14ac:dyDescent="0.35">
      <c r="A148" s="1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44"/>
    </row>
    <row r="149" spans="1:12" x14ac:dyDescent="0.35">
      <c r="A149" s="1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44"/>
    </row>
    <row r="150" spans="1:12" x14ac:dyDescent="0.35">
      <c r="A150" s="1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44"/>
    </row>
    <row r="151" spans="1:12" x14ac:dyDescent="0.35">
      <c r="A151" s="1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44"/>
    </row>
    <row r="152" spans="1:12" ht="18" thickBot="1" x14ac:dyDescent="0.4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45"/>
    </row>
  </sheetData>
  <mergeCells count="68">
    <mergeCell ref="A142:H142"/>
    <mergeCell ref="I142:J142"/>
    <mergeCell ref="K142:L142"/>
    <mergeCell ref="E143:F143"/>
    <mergeCell ref="K143:L143"/>
    <mergeCell ref="A130:H130"/>
    <mergeCell ref="I130:J130"/>
    <mergeCell ref="K130:L130"/>
    <mergeCell ref="E131:F131"/>
    <mergeCell ref="K131:L131"/>
    <mergeCell ref="A118:H118"/>
    <mergeCell ref="I118:J118"/>
    <mergeCell ref="K118:L118"/>
    <mergeCell ref="E119:F119"/>
    <mergeCell ref="K119:L119"/>
    <mergeCell ref="A106:H106"/>
    <mergeCell ref="I106:J106"/>
    <mergeCell ref="K106:L106"/>
    <mergeCell ref="E107:F107"/>
    <mergeCell ref="K107:L107"/>
    <mergeCell ref="A14:H14"/>
    <mergeCell ref="I14:J14"/>
    <mergeCell ref="K14:L14"/>
    <mergeCell ref="E35:F35"/>
    <mergeCell ref="K35:L35"/>
    <mergeCell ref="E15:F15"/>
    <mergeCell ref="K15:L15"/>
    <mergeCell ref="E25:F25"/>
    <mergeCell ref="K25:L25"/>
    <mergeCell ref="A24:H24"/>
    <mergeCell ref="I24:J24"/>
    <mergeCell ref="K24:L24"/>
    <mergeCell ref="A34:H34"/>
    <mergeCell ref="I34:J34"/>
    <mergeCell ref="K34:L34"/>
    <mergeCell ref="E4:F4"/>
    <mergeCell ref="K4:L4"/>
    <mergeCell ref="A1:L1"/>
    <mergeCell ref="A13:L13"/>
    <mergeCell ref="A3:L3"/>
    <mergeCell ref="I2:J2"/>
    <mergeCell ref="K2:L2"/>
    <mergeCell ref="A2:H2"/>
    <mergeCell ref="A46:H46"/>
    <mergeCell ref="I46:J46"/>
    <mergeCell ref="K46:L46"/>
    <mergeCell ref="E47:F47"/>
    <mergeCell ref="K47:L47"/>
    <mergeCell ref="A58:H58"/>
    <mergeCell ref="I58:J58"/>
    <mergeCell ref="K58:L58"/>
    <mergeCell ref="E59:F59"/>
    <mergeCell ref="K59:L59"/>
    <mergeCell ref="A70:H70"/>
    <mergeCell ref="I70:J70"/>
    <mergeCell ref="K70:L70"/>
    <mergeCell ref="E71:F71"/>
    <mergeCell ref="K71:L71"/>
    <mergeCell ref="A82:H82"/>
    <mergeCell ref="I82:J82"/>
    <mergeCell ref="K82:L82"/>
    <mergeCell ref="E83:F83"/>
    <mergeCell ref="K83:L83"/>
    <mergeCell ref="A94:H94"/>
    <mergeCell ref="I94:J94"/>
    <mergeCell ref="K94:L94"/>
    <mergeCell ref="E95:F95"/>
    <mergeCell ref="K95:L95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I10" sqref="I10"/>
    </sheetView>
  </sheetViews>
  <sheetFormatPr defaultColWidth="10.8984375" defaultRowHeight="18" x14ac:dyDescent="0.35"/>
  <cols>
    <col min="1" max="1" width="37.59765625" style="1" customWidth="1"/>
    <col min="2" max="2" width="23" style="1" customWidth="1"/>
    <col min="3" max="3" width="1.19921875" style="1" customWidth="1"/>
    <col min="4" max="4" width="23" style="1" customWidth="1"/>
    <col min="5" max="16384" width="10.8984375" style="1"/>
  </cols>
  <sheetData>
    <row r="1" spans="1:4" x14ac:dyDescent="0.35">
      <c r="A1" s="101"/>
      <c r="B1" s="101"/>
      <c r="C1" s="101"/>
      <c r="D1" s="101"/>
    </row>
    <row r="2" spans="1:4" x14ac:dyDescent="0.35">
      <c r="A2" s="102" t="s">
        <v>24</v>
      </c>
      <c r="B2" s="102"/>
      <c r="C2" s="102"/>
      <c r="D2" s="102"/>
    </row>
    <row r="3" spans="1:4" x14ac:dyDescent="0.35">
      <c r="A3" s="102" t="s">
        <v>80</v>
      </c>
      <c r="B3" s="102"/>
      <c r="C3" s="102"/>
      <c r="D3" s="102"/>
    </row>
    <row r="4" spans="1:4" x14ac:dyDescent="0.35">
      <c r="A4" s="102" t="s">
        <v>25</v>
      </c>
      <c r="B4" s="102"/>
      <c r="C4" s="102"/>
      <c r="D4" s="102"/>
    </row>
    <row r="5" spans="1:4" x14ac:dyDescent="0.35">
      <c r="A5" s="103"/>
      <c r="B5" s="103"/>
      <c r="C5" s="103"/>
      <c r="D5" s="103"/>
    </row>
    <row r="6" spans="1:4" s="7" customFormat="1" x14ac:dyDescent="0.35">
      <c r="A6" s="18" t="s">
        <v>26</v>
      </c>
      <c r="B6" s="66"/>
      <c r="C6" s="99"/>
      <c r="D6" s="67"/>
    </row>
    <row r="7" spans="1:4" x14ac:dyDescent="0.35">
      <c r="A7" s="17" t="s">
        <v>30</v>
      </c>
      <c r="B7" s="68">
        <v>300</v>
      </c>
      <c r="C7" s="100"/>
      <c r="D7" s="69"/>
    </row>
    <row r="8" spans="1:4" x14ac:dyDescent="0.35">
      <c r="A8" s="17" t="s">
        <v>29</v>
      </c>
      <c r="B8" s="68">
        <v>182511.97</v>
      </c>
      <c r="C8" s="100"/>
      <c r="D8" s="69"/>
    </row>
    <row r="9" spans="1:4" x14ac:dyDescent="0.35">
      <c r="A9" s="17" t="s">
        <v>45</v>
      </c>
      <c r="B9" s="68">
        <v>0</v>
      </c>
      <c r="C9" s="100"/>
      <c r="D9" s="69">
        <v>0</v>
      </c>
    </row>
    <row r="10" spans="1:4" x14ac:dyDescent="0.35">
      <c r="A10" s="17" t="s">
        <v>73</v>
      </c>
      <c r="B10" s="68">
        <v>5600</v>
      </c>
      <c r="C10" s="100"/>
      <c r="D10" s="69"/>
    </row>
    <row r="11" spans="1:4" x14ac:dyDescent="0.35">
      <c r="A11" s="17" t="s">
        <v>41</v>
      </c>
      <c r="B11" s="68">
        <v>3400</v>
      </c>
      <c r="C11" s="100"/>
      <c r="D11" s="69"/>
    </row>
    <row r="12" spans="1:4" x14ac:dyDescent="0.35">
      <c r="A12" s="17" t="s">
        <v>42</v>
      </c>
      <c r="B12" s="68"/>
      <c r="C12" s="100"/>
      <c r="D12" s="69">
        <v>2138</v>
      </c>
    </row>
    <row r="13" spans="1:4" x14ac:dyDescent="0.35">
      <c r="A13" s="17" t="s">
        <v>46</v>
      </c>
      <c r="B13" s="68"/>
      <c r="C13" s="100"/>
      <c r="D13" s="69">
        <v>826</v>
      </c>
    </row>
    <row r="14" spans="1:4" x14ac:dyDescent="0.35">
      <c r="A14" s="17" t="s">
        <v>56</v>
      </c>
      <c r="B14" s="68"/>
      <c r="C14" s="100"/>
      <c r="D14" s="69">
        <v>185000</v>
      </c>
    </row>
    <row r="15" spans="1:4" x14ac:dyDescent="0.35">
      <c r="A15" s="17" t="s">
        <v>57</v>
      </c>
      <c r="B15" s="68"/>
      <c r="C15" s="100"/>
      <c r="D15" s="69">
        <v>11800</v>
      </c>
    </row>
    <row r="16" spans="1:4" x14ac:dyDescent="0.35">
      <c r="A16" s="17" t="s">
        <v>32</v>
      </c>
      <c r="B16" s="68">
        <v>5900</v>
      </c>
      <c r="C16" s="100"/>
      <c r="D16" s="69"/>
    </row>
    <row r="17" spans="1:5" x14ac:dyDescent="0.35">
      <c r="A17" s="17" t="s">
        <v>74</v>
      </c>
      <c r="B17" s="68">
        <v>749</v>
      </c>
      <c r="C17" s="100"/>
      <c r="D17" s="69"/>
    </row>
    <row r="18" spans="1:5" x14ac:dyDescent="0.35">
      <c r="A18" s="17" t="s">
        <v>59</v>
      </c>
      <c r="B18" s="68">
        <v>580</v>
      </c>
      <c r="C18" s="100"/>
      <c r="D18" s="69"/>
    </row>
    <row r="19" spans="1:5" x14ac:dyDescent="0.35">
      <c r="A19" s="17" t="s">
        <v>31</v>
      </c>
      <c r="B19" s="68">
        <v>723.03</v>
      </c>
      <c r="C19" s="100"/>
      <c r="D19" s="69"/>
    </row>
    <row r="20" spans="1:5" x14ac:dyDescent="0.35">
      <c r="A20" s="17"/>
      <c r="B20" s="68"/>
      <c r="C20" s="100"/>
      <c r="D20" s="69"/>
    </row>
    <row r="21" spans="1:5" ht="18.600000000000001" thickBot="1" x14ac:dyDescent="0.4">
      <c r="A21" s="7" t="s">
        <v>27</v>
      </c>
      <c r="B21" s="36">
        <f>SUM(B7:B20)</f>
        <v>199764</v>
      </c>
      <c r="C21" s="32"/>
      <c r="D21" s="36">
        <f>SUM(D12:D20)</f>
        <v>199764</v>
      </c>
    </row>
    <row r="22" spans="1:5" ht="18.600000000000001" thickTop="1" x14ac:dyDescent="0.35"/>
    <row r="26" spans="1:5" ht="180" customHeight="1" x14ac:dyDescent="0.35">
      <c r="B26" s="109" t="s">
        <v>79</v>
      </c>
      <c r="C26" s="109"/>
      <c r="D26" s="109"/>
      <c r="E26" s="109"/>
    </row>
  </sheetData>
  <mergeCells count="7">
    <mergeCell ref="B26:E26"/>
    <mergeCell ref="C6:C20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C0B7E3A79604D8F87E99E08D90AB2" ma:contentTypeVersion="11" ma:contentTypeDescription="Crear nuevo documento." ma:contentTypeScope="" ma:versionID="7f7e9dfe91be2f9ec518f7dd74cc0e86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d0d11965158c2852f61c908ab1f86646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Props1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5B0059-AEC5-4DA6-B5DA-28721EF53765}"/>
</file>

<file path=customXml/itemProps3.xml><?xml version="1.0" encoding="utf-8"?>
<ds:datastoreItem xmlns:ds="http://schemas.openxmlformats.org/officeDocument/2006/customXml" ds:itemID="{0B4F1464-70DC-40EC-9643-1B9BBED83215}">
  <ds:schemaRefs>
    <ds:schemaRef ds:uri="http://purl.org/dc/elements/1.1/"/>
    <ds:schemaRef ds:uri="http://purl.org/dc/terms/"/>
    <ds:schemaRef ds:uri="e6a9710b-39be-4c0d-a418-a1689ae80e4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DIARIO</vt:lpstr>
      <vt:lpstr>MAYOR</vt:lpstr>
      <vt:lpstr>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Javier Forchiney</cp:lastModifiedBy>
  <cp:revision/>
  <dcterms:created xsi:type="dcterms:W3CDTF">2017-09-19T17:58:02Z</dcterms:created>
  <dcterms:modified xsi:type="dcterms:W3CDTF">2026-06-04T15:53:44Z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</Properties>
</file>