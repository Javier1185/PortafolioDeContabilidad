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1400f3b83139dda/Escritorio/Contabilidad/"/>
    </mc:Choice>
  </mc:AlternateContent>
  <xr:revisionPtr revIDLastSave="262" documentId="8_{896F49AF-3181-4066-A141-0DEFFB36234E}" xr6:coauthVersionLast="47" xr6:coauthVersionMax="47" xr10:uidLastSave="{FC9B31DF-68AD-43E1-9AC4-8E1A842559AD}"/>
  <bookViews>
    <workbookView xWindow="-108" yWindow="-108" windowWidth="23256" windowHeight="12456" tabRatio="500" activeTab="3" xr2:uid="{00000000-000D-0000-FFFF-FFFF00000000}"/>
  </bookViews>
  <sheets>
    <sheet name="Enunciados" sheetId="4" r:id="rId1"/>
    <sheet name="DIARIO" sheetId="1" r:id="rId2"/>
    <sheet name="MAYOR" sheetId="2" r:id="rId3"/>
    <sheet name="BALANCE" sheetId="3" r:id="rId4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8" i="2" l="1"/>
  <c r="K120" i="2" s="1"/>
  <c r="K132" i="2" s="1"/>
  <c r="B24" i="3"/>
  <c r="D24" i="3"/>
  <c r="H12" i="1" l="1"/>
  <c r="Q23" i="1"/>
  <c r="F47" i="1"/>
  <c r="E50" i="1"/>
  <c r="E49" i="1" s="1"/>
  <c r="F42" i="1"/>
  <c r="F38" i="1"/>
  <c r="E37" i="1"/>
  <c r="E33" i="1"/>
  <c r="F34" i="1"/>
  <c r="F27" i="1"/>
  <c r="E25" i="1"/>
  <c r="F26" i="1" s="1"/>
  <c r="E22" i="1"/>
  <c r="E21" i="1"/>
  <c r="E17" i="1"/>
  <c r="E18" i="1"/>
  <c r="E14" i="1"/>
  <c r="F15" i="1"/>
  <c r="M20" i="1"/>
</calcChain>
</file>

<file path=xl/sharedStrings.xml><?xml version="1.0" encoding="utf-8"?>
<sst xmlns="http://schemas.openxmlformats.org/spreadsheetml/2006/main" count="353" uniqueCount="92">
  <si>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</si>
  <si>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</si>
  <si>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</si>
  <si>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</si>
  <si>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</si>
  <si>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</si>
  <si>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</si>
  <si>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</si>
  <si>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</si>
  <si>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</si>
  <si>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</si>
  <si>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</si>
  <si>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</si>
  <si>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</si>
  <si>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</si>
  <si>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</si>
  <si>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</si>
  <si>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</si>
  <si>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</si>
  <si>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</si>
  <si>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</si>
  <si>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</si>
  <si>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</si>
  <si>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</si>
  <si>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</si>
  <si>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</si>
  <si>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</si>
  <si>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Banco</t>
  </si>
  <si>
    <t>Capital</t>
  </si>
  <si>
    <t>Caja Menuda</t>
  </si>
  <si>
    <t>Equipo de Oficina</t>
  </si>
  <si>
    <t>Mobiliario de Oficina</t>
  </si>
  <si>
    <t xml:space="preserve">    Banco</t>
  </si>
  <si>
    <t>Capital - 300</t>
  </si>
  <si>
    <t>Octubre</t>
  </si>
  <si>
    <t xml:space="preserve">    Capital</t>
  </si>
  <si>
    <t>Se aporta del capital a la cuenta de la empresa al banco nacional</t>
  </si>
  <si>
    <t xml:space="preserve">   Banco</t>
  </si>
  <si>
    <t>Se establece una caja menuda con el cheque N° 0002</t>
  </si>
  <si>
    <t>Equipo de oficina</t>
  </si>
  <si>
    <t>Se compró laptos con el cheque N°0003</t>
  </si>
  <si>
    <t xml:space="preserve">Gastos - Servicios profesionales </t>
  </si>
  <si>
    <t>Se contrató a un diseñador para crear el sitio web  y se le hizo el pago mediante el cheque N°004</t>
  </si>
  <si>
    <t>Gastos - Promocion y publicidad</t>
  </si>
  <si>
    <t>Gasto - ITBMS</t>
  </si>
  <si>
    <t>Se realizo el pago mediante el cheque N° 0005</t>
  </si>
  <si>
    <t>Ingresos - Ventas</t>
  </si>
  <si>
    <t>Tesoro Nacional</t>
  </si>
  <si>
    <t>Cuentas por cobrar</t>
  </si>
  <si>
    <t>Gastos - Salarios</t>
  </si>
  <si>
    <t>Se realizo el pago de los salarios mediante el cheque N° 0006</t>
  </si>
  <si>
    <t>Gastos - Antivirus</t>
  </si>
  <si>
    <t>Se realizo la compra de antivirus con el cheque N° 0007</t>
  </si>
  <si>
    <t>Mobiliario de oficina</t>
  </si>
  <si>
    <t>Se realizo la compra de mobialiario de oficina mediante el cheque N 0008</t>
  </si>
  <si>
    <t xml:space="preserve">     Cuentas por cobrar</t>
  </si>
  <si>
    <t>Gastos - Electricidad</t>
  </si>
  <si>
    <t>Gastos - Internet</t>
  </si>
  <si>
    <t>Gastos - Agua y aseo</t>
  </si>
  <si>
    <t>*10</t>
  </si>
  <si>
    <t>Gastos - Legales y notariales</t>
  </si>
  <si>
    <t>Gasto - ITMBS</t>
  </si>
  <si>
    <t>Caja Menuda - 100</t>
  </si>
  <si>
    <t>Banco - 101</t>
  </si>
  <si>
    <t>Cuentas por Cobrar - 102</t>
  </si>
  <si>
    <t>Tesoro Nacional 200</t>
  </si>
  <si>
    <t>Gastos - ITBMS</t>
  </si>
  <si>
    <t>Gastos - Servicios profesionales</t>
  </si>
  <si>
    <t>Equipo de Oficina - 104</t>
  </si>
  <si>
    <t>Mobiliario de oficina 103</t>
  </si>
  <si>
    <t>Gastos - Salario 600</t>
  </si>
  <si>
    <t>Gastos - Promocion y publicidad 601</t>
  </si>
  <si>
    <t>Gastos de Electricidad - 602</t>
  </si>
  <si>
    <t>Gastos - Internet 603</t>
  </si>
  <si>
    <t>Gastos - Agua y aseo 604</t>
  </si>
  <si>
    <t>Gastos - Legales y notariales 605</t>
  </si>
  <si>
    <t>Gastos - Servicios profesionales 606</t>
  </si>
  <si>
    <t>Gastos - Antivirus 607</t>
  </si>
  <si>
    <t>Gastos - ITBMS 608</t>
  </si>
  <si>
    <t>Cuentas por Cobrar</t>
  </si>
  <si>
    <t>Tesoro nacional</t>
  </si>
  <si>
    <t>Ingresos - ventas</t>
  </si>
  <si>
    <t>Ingresos - Ventas 400</t>
  </si>
  <si>
    <t xml:space="preserve">Gastos - Internet </t>
  </si>
  <si>
    <t>Se pagó a honorarios legales con el cheque N°0010</t>
  </si>
  <si>
    <t>Se hizo el pago de servicios publicos con el cheque N°0009</t>
  </si>
  <si>
    <t>Se recibio el pago de TechnoSafe por le servicio dado</t>
  </si>
  <si>
    <t>Se hizo la venta de un paquete de monitoreo a TecnoSafe</t>
  </si>
  <si>
    <t>En conclusión, la empresa tuvo un primer mes bastante movido. Si bien terminó con una pérdida de $10,224.00, esto no significa que la empresa esté mal, sino que considero que es algo normal cuando una empresa recién empieza, ya que los gastos iniciales como salarios, equipos y licencias son altos antes de tener suficientes clientes. Lo positivo es que la empresa no debe nada a nadie, tiene casi todo su dinero disponible en el banco y ya logró su primera venta a TechnoSafe, la cual cobró exitosamente. Eso demuestra que hay actividad real y que el negocio tiene potencial.</t>
  </si>
  <si>
    <t>Estado Financiero de la empresa</t>
  </si>
  <si>
    <t>Javier Forchiney</t>
  </si>
  <si>
    <t>Del mes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</si>
</sst>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[$$-409]* #,##0.00_ ;_-[$$-409]* \-#,##0.00\ ;_-[$$-409]* &quot;-&quot;??_ ;_-@_ "/>
    <numFmt numFmtId="167" formatCode="_-[$B/.-180A]* #,##0.00_-;\-[$B/.-180A]* #,##0.00_-;_-[$B/.-180A]* &quot;-&quot;??_-;_-@_-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16" xfId="0" applyFont="1" applyBorder="1"/>
    <xf numFmtId="0" fontId="3" fillId="0" borderId="21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0" fontId="10" fillId="0" borderId="0" xfId="0" applyFont="1" applyAlignment="1">
      <alignment horizontal="center" vertical="center"/>
    </xf>
    <xf numFmtId="2" fontId="0" fillId="0" borderId="0" xfId="0" applyNumberFormat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0" fontId="7" fillId="0" borderId="0" xfId="0" applyFont="1"/>
    <xf numFmtId="165" fontId="1" fillId="0" borderId="10" xfId="0" applyNumberFormat="1" applyFont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165" fontId="9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center"/>
    </xf>
    <xf numFmtId="165" fontId="0" fillId="2" borderId="1" xfId="0" applyNumberFormat="1" applyFill="1" applyBorder="1"/>
    <xf numFmtId="165" fontId="0" fillId="0" borderId="1" xfId="0" applyNumberFormat="1" applyBorder="1"/>
    <xf numFmtId="0" fontId="0" fillId="0" borderId="0" xfId="0" applyAlignment="1">
      <alignment horizontal="left" wrapText="1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7" fontId="11" fillId="0" borderId="16" xfId="0" applyNumberFormat="1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1" xfId="0" applyFont="1" applyBorder="1"/>
    <xf numFmtId="164" fontId="1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4" fontId="11" fillId="0" borderId="17" xfId="0" applyNumberFormat="1" applyFont="1" applyBorder="1" applyAlignment="1">
      <alignment horizontal="center"/>
    </xf>
    <xf numFmtId="0" fontId="11" fillId="0" borderId="16" xfId="0" applyFont="1" applyBorder="1"/>
    <xf numFmtId="165" fontId="11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165" fontId="11" fillId="0" borderId="19" xfId="0" applyNumberFormat="1" applyFont="1" applyBorder="1"/>
    <xf numFmtId="0" fontId="11" fillId="0" borderId="20" xfId="0" applyFont="1" applyBorder="1"/>
    <xf numFmtId="0" fontId="11" fillId="0" borderId="12" xfId="0" applyFont="1" applyBorder="1"/>
    <xf numFmtId="0" fontId="11" fillId="0" borderId="13" xfId="0" applyFont="1" applyBorder="1"/>
    <xf numFmtId="165" fontId="1" fillId="0" borderId="7" xfId="0" applyNumberFormat="1" applyFont="1" applyBorder="1"/>
    <xf numFmtId="165" fontId="1" fillId="0" borderId="9" xfId="0" applyNumberFormat="1" applyFont="1" applyBorder="1" applyAlignment="1">
      <alignment horizontal="right"/>
    </xf>
    <xf numFmtId="165" fontId="11" fillId="0" borderId="0" xfId="0" applyNumberFormat="1" applyFont="1"/>
    <xf numFmtId="165" fontId="2" fillId="0" borderId="0" xfId="0" applyNumberFormat="1" applyFont="1"/>
    <xf numFmtId="0" fontId="0" fillId="0" borderId="27" xfId="0" applyBorder="1" applyAlignment="1">
      <alignment horizontal="left" wrapText="1"/>
    </xf>
    <xf numFmtId="165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8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26" xfId="0" applyFont="1" applyBorder="1"/>
    <xf numFmtId="167" fontId="8" fillId="0" borderId="11" xfId="0" applyNumberFormat="1" applyFont="1" applyBorder="1" applyAlignment="1">
      <alignment horizontal="center"/>
    </xf>
    <xf numFmtId="167" fontId="8" fillId="0" borderId="26" xfId="0" applyNumberFormat="1" applyFont="1" applyBorder="1" applyAlignment="1">
      <alignment horizontal="center"/>
    </xf>
    <xf numFmtId="167" fontId="8" fillId="0" borderId="22" xfId="0" applyNumberFormat="1" applyFont="1" applyBorder="1" applyAlignment="1">
      <alignment horizontal="center"/>
    </xf>
    <xf numFmtId="167" fontId="2" fillId="0" borderId="1" xfId="0" applyNumberFormat="1" applyFont="1" applyBorder="1"/>
    <xf numFmtId="167" fontId="3" fillId="0" borderId="27" xfId="0" applyNumberFormat="1" applyFont="1" applyBorder="1" applyAlignment="1">
      <alignment horizontal="center"/>
    </xf>
    <xf numFmtId="167" fontId="2" fillId="0" borderId="17" xfId="0" applyNumberFormat="1" applyFont="1" applyBorder="1"/>
    <xf numFmtId="167" fontId="2" fillId="0" borderId="0" xfId="0" applyNumberFormat="1" applyFont="1"/>
    <xf numFmtId="167" fontId="2" fillId="0" borderId="26" xfId="0" applyNumberFormat="1" applyFont="1" applyBorder="1"/>
    <xf numFmtId="167" fontId="2" fillId="0" borderId="40" xfId="0" applyNumberFormat="1" applyFont="1" applyBorder="1"/>
    <xf numFmtId="167" fontId="3" fillId="0" borderId="1" xfId="0" applyNumberFormat="1" applyFont="1" applyBorder="1" applyAlignment="1">
      <alignment horizontal="center"/>
    </xf>
    <xf numFmtId="167" fontId="8" fillId="0" borderId="25" xfId="0" applyNumberFormat="1" applyFont="1" applyBorder="1"/>
    <xf numFmtId="167" fontId="8" fillId="0" borderId="0" xfId="0" applyNumberFormat="1" applyFont="1"/>
    <xf numFmtId="0" fontId="11" fillId="0" borderId="41" xfId="0" applyFont="1" applyBorder="1"/>
    <xf numFmtId="0" fontId="11" fillId="0" borderId="26" xfId="0" applyFont="1" applyBorder="1"/>
    <xf numFmtId="165" fontId="11" fillId="0" borderId="26" xfId="0" applyNumberFormat="1" applyFont="1" applyBorder="1"/>
    <xf numFmtId="0" fontId="11" fillId="0" borderId="40" xfId="0" applyFont="1" applyBorder="1"/>
    <xf numFmtId="165" fontId="0" fillId="0" borderId="1" xfId="0" applyNumberFormat="1" applyFont="1" applyBorder="1"/>
    <xf numFmtId="1" fontId="11" fillId="0" borderId="1" xfId="0" applyNumberFormat="1" applyFont="1" applyBorder="1"/>
    <xf numFmtId="0" fontId="0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167" fontId="0" fillId="0" borderId="1" xfId="0" applyNumberFormat="1" applyBorder="1"/>
    <xf numFmtId="167" fontId="0" fillId="0" borderId="1" xfId="0" applyNumberFormat="1" applyBorder="1" applyAlignment="1">
      <alignment horizontal="right"/>
    </xf>
    <xf numFmtId="167" fontId="0" fillId="0" borderId="1" xfId="0" applyNumberFormat="1" applyFont="1" applyBorder="1"/>
    <xf numFmtId="167" fontId="0" fillId="0" borderId="1" xfId="0" applyNumberFormat="1" applyBorder="1" applyAlignment="1">
      <alignment horizontal="center"/>
    </xf>
    <xf numFmtId="167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9" xfId="0" applyBorder="1" applyAlignment="1">
      <alignment horizontal="left"/>
    </xf>
    <xf numFmtId="167" fontId="0" fillId="0" borderId="19" xfId="0" applyNumberFormat="1" applyBorder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343884</xdr:colOff>
      <xdr:row>28</xdr:row>
      <xdr:rowOff>107690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C6DEE1-0671-DD33-4A99-27D3237D4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396240"/>
          <a:ext cx="7049484" cy="7240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C621-A4FD-4FDD-9458-AF59D472135D}">
  <dimension ref="N7:N11"/>
  <sheetViews>
    <sheetView workbookViewId="0">
      <selection activeCell="N17" sqref="N17"/>
    </sheetView>
  </sheetViews>
  <sheetFormatPr defaultRowHeight="15.6" x14ac:dyDescent="0.3"/>
  <cols>
    <col min="14" max="14" width="52.5" customWidth="1"/>
  </cols>
  <sheetData>
    <row r="7" spans="14:14" x14ac:dyDescent="0.3">
      <c r="N7" s="140" t="s">
        <v>89</v>
      </c>
    </row>
    <row r="8" spans="14:14" ht="171.6" x14ac:dyDescent="0.3">
      <c r="N8" s="139" t="s">
        <v>88</v>
      </c>
    </row>
    <row r="11" spans="14:14" x14ac:dyDescent="0.3">
      <c r="N11" s="140" t="s">
        <v>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zoomScale="64" zoomScaleNormal="64" workbookViewId="0">
      <selection activeCell="Q52" sqref="Q52"/>
    </sheetView>
  </sheetViews>
  <sheetFormatPr defaultColWidth="10.8984375" defaultRowHeight="24.9" customHeight="1" x14ac:dyDescent="0.3"/>
  <cols>
    <col min="1" max="1" width="13.09765625" style="3" customWidth="1"/>
    <col min="2" max="2" width="5.09765625" style="3" customWidth="1"/>
    <col min="3" max="3" width="37.5" customWidth="1"/>
    <col min="4" max="4" width="6.5" customWidth="1"/>
    <col min="5" max="5" width="17.3984375" style="33" customWidth="1"/>
    <col min="6" max="6" width="18.59765625" style="33" customWidth="1"/>
    <col min="7" max="7" width="10.8984375" style="13"/>
    <col min="8" max="8" width="14.8984375" style="33" customWidth="1"/>
    <col min="9" max="9" width="18.09765625" style="33" customWidth="1"/>
    <col min="10" max="10" width="5.69921875" style="39" customWidth="1"/>
    <col min="11" max="11" width="4.5" customWidth="1"/>
    <col min="12" max="12" width="5.5" style="13" customWidth="1"/>
    <col min="13" max="13" width="14.69921875" style="33" customWidth="1"/>
    <col min="14" max="14" width="21.3984375" style="33" customWidth="1"/>
    <col min="15" max="15" width="6" style="39" customWidth="1"/>
    <col min="16" max="16" width="6" style="13" customWidth="1"/>
    <col min="17" max="17" width="12.5" style="33" customWidth="1"/>
    <col min="18" max="18" width="20.09765625" style="33" customWidth="1"/>
    <col min="19" max="19" width="10.8984375" style="39" customWidth="1"/>
    <col min="20" max="20" width="6" customWidth="1"/>
    <col min="21" max="21" width="14" customWidth="1"/>
    <col min="22" max="22" width="13.09765625" customWidth="1"/>
    <col min="24" max="24" width="16.59765625" customWidth="1"/>
    <col min="25" max="25" width="14.19921875" customWidth="1"/>
  </cols>
  <sheetData>
    <row r="1" spans="1:25" ht="24.9" customHeight="1" x14ac:dyDescent="0.45">
      <c r="A1" s="72" t="s">
        <v>0</v>
      </c>
      <c r="B1" s="73"/>
      <c r="C1" s="73"/>
      <c r="D1" s="73"/>
      <c r="E1" s="74"/>
      <c r="F1" s="41" t="s">
        <v>59</v>
      </c>
      <c r="H1" s="70" t="s">
        <v>63</v>
      </c>
      <c r="I1" s="70"/>
      <c r="J1" s="37"/>
      <c r="K1" s="3"/>
      <c r="M1" s="70" t="s">
        <v>33</v>
      </c>
      <c r="N1" s="70"/>
      <c r="O1" s="40"/>
      <c r="P1" s="17"/>
      <c r="Q1" s="70" t="s">
        <v>64</v>
      </c>
      <c r="R1" s="70"/>
      <c r="S1" s="40"/>
      <c r="T1" s="3"/>
      <c r="U1" s="3"/>
      <c r="X1" s="3" t="s">
        <v>2</v>
      </c>
      <c r="Y1" s="18" t="s">
        <v>3</v>
      </c>
    </row>
    <row r="2" spans="1:25" ht="24.9" customHeight="1" x14ac:dyDescent="0.35">
      <c r="A2" s="79"/>
      <c r="B2" s="80"/>
      <c r="C2" s="80"/>
      <c r="D2" s="80"/>
      <c r="E2" s="80"/>
      <c r="F2" s="80"/>
      <c r="H2" s="32" t="s">
        <v>4</v>
      </c>
      <c r="I2" s="32" t="s">
        <v>5</v>
      </c>
      <c r="J2" s="37"/>
      <c r="K2" s="3"/>
      <c r="M2" s="32" t="s">
        <v>4</v>
      </c>
      <c r="N2" s="32" t="s">
        <v>5</v>
      </c>
      <c r="O2" s="37"/>
      <c r="P2" s="17"/>
      <c r="Q2" s="32" t="s">
        <v>4</v>
      </c>
      <c r="R2" s="32" t="s">
        <v>5</v>
      </c>
      <c r="S2" s="37"/>
      <c r="T2" s="3"/>
      <c r="U2" s="3"/>
      <c r="W2" s="18" t="s">
        <v>6</v>
      </c>
    </row>
    <row r="3" spans="1:25" ht="24.9" customHeight="1" x14ac:dyDescent="0.3">
      <c r="A3" s="81"/>
      <c r="B3" s="71"/>
      <c r="C3" s="71"/>
      <c r="D3" s="71"/>
      <c r="E3" s="71"/>
      <c r="F3" s="71"/>
      <c r="G3" s="13">
        <v>1</v>
      </c>
      <c r="H3" s="44">
        <v>200000</v>
      </c>
      <c r="I3" s="44">
        <v>300</v>
      </c>
      <c r="J3" s="39">
        <v>2</v>
      </c>
      <c r="M3" s="44"/>
      <c r="N3" s="44">
        <v>200000</v>
      </c>
      <c r="O3" s="39">
        <v>1</v>
      </c>
      <c r="P3" s="13">
        <v>10</v>
      </c>
      <c r="Q3" s="44">
        <v>3745</v>
      </c>
      <c r="R3" s="44">
        <v>3745</v>
      </c>
      <c r="S3" s="39">
        <v>25</v>
      </c>
      <c r="T3" s="13"/>
      <c r="U3" s="13"/>
      <c r="W3" s="18" t="s">
        <v>7</v>
      </c>
    </row>
    <row r="4" spans="1:25" ht="24.9" customHeight="1" x14ac:dyDescent="0.3">
      <c r="A4" s="77"/>
      <c r="B4" s="78"/>
      <c r="C4" s="78"/>
      <c r="D4" s="78"/>
      <c r="E4" s="78"/>
      <c r="F4" s="78"/>
      <c r="G4" s="13">
        <v>25</v>
      </c>
      <c r="H4" s="44">
        <v>3500</v>
      </c>
      <c r="I4" s="44">
        <v>13375</v>
      </c>
      <c r="J4" s="39">
        <v>3</v>
      </c>
      <c r="M4" s="44"/>
      <c r="N4" s="44"/>
      <c r="Q4" s="44"/>
      <c r="R4" s="44"/>
      <c r="V4" s="14"/>
      <c r="W4" s="18" t="s">
        <v>8</v>
      </c>
    </row>
    <row r="5" spans="1:25" s="3" customFormat="1" ht="24.9" customHeight="1" x14ac:dyDescent="0.3">
      <c r="A5" s="82" t="s">
        <v>9</v>
      </c>
      <c r="B5" s="83"/>
      <c r="C5" s="2" t="s">
        <v>10</v>
      </c>
      <c r="D5" s="2" t="s">
        <v>11</v>
      </c>
      <c r="E5" s="42" t="s">
        <v>4</v>
      </c>
      <c r="F5" s="42" t="s">
        <v>5</v>
      </c>
      <c r="G5" s="17"/>
      <c r="H5" s="42"/>
      <c r="I5" s="105">
        <v>850</v>
      </c>
      <c r="J5" s="39">
        <v>4</v>
      </c>
      <c r="K5" s="13"/>
      <c r="L5" s="17"/>
      <c r="M5" s="105"/>
      <c r="N5" s="105"/>
      <c r="O5" s="37"/>
      <c r="P5" s="15"/>
      <c r="Q5" s="42"/>
      <c r="R5" s="105"/>
      <c r="S5" s="38"/>
      <c r="T5" s="15"/>
      <c r="U5" s="15"/>
      <c r="V5" s="17"/>
    </row>
    <row r="6" spans="1:25" ht="24.9" customHeight="1" x14ac:dyDescent="0.3">
      <c r="A6" s="75"/>
      <c r="B6" s="76"/>
      <c r="C6" s="25"/>
      <c r="D6" s="25"/>
      <c r="E6" s="43"/>
      <c r="F6" s="43"/>
      <c r="H6" s="44"/>
      <c r="I6" s="44">
        <v>1200</v>
      </c>
      <c r="J6" s="39">
        <v>8</v>
      </c>
      <c r="M6" s="44"/>
      <c r="N6" s="105"/>
      <c r="Q6" s="44"/>
      <c r="R6" s="44"/>
      <c r="V6" s="13"/>
      <c r="X6" s="18" t="s">
        <v>12</v>
      </c>
      <c r="Y6" s="3" t="s">
        <v>13</v>
      </c>
    </row>
    <row r="7" spans="1:25" ht="24.9" customHeight="1" x14ac:dyDescent="0.3">
      <c r="A7" s="2" t="s">
        <v>34</v>
      </c>
      <c r="B7" s="2">
        <v>1</v>
      </c>
      <c r="C7" s="4" t="s">
        <v>27</v>
      </c>
      <c r="D7" s="4">
        <v>101</v>
      </c>
      <c r="E7" s="44">
        <v>200000</v>
      </c>
      <c r="F7" s="44"/>
      <c r="H7" s="44"/>
      <c r="I7" s="44">
        <v>6500</v>
      </c>
      <c r="J7" s="39">
        <v>15</v>
      </c>
      <c r="M7" s="44"/>
      <c r="N7" s="53"/>
      <c r="Q7" s="33">
        <v>0</v>
      </c>
      <c r="V7" s="13"/>
      <c r="W7" s="18" t="s">
        <v>14</v>
      </c>
    </row>
    <row r="8" spans="1:25" ht="24.9" customHeight="1" x14ac:dyDescent="0.3">
      <c r="A8" s="2"/>
      <c r="B8" s="2"/>
      <c r="C8" s="4" t="s">
        <v>35</v>
      </c>
      <c r="D8" s="4">
        <v>300</v>
      </c>
      <c r="E8" s="44"/>
      <c r="F8" s="44">
        <v>200000</v>
      </c>
      <c r="H8" s="53"/>
      <c r="I8" s="44">
        <v>1926</v>
      </c>
      <c r="J8" s="39">
        <v>18</v>
      </c>
      <c r="V8" s="13"/>
      <c r="W8" s="18" t="s">
        <v>1</v>
      </c>
    </row>
    <row r="9" spans="1:25" ht="29.25" customHeight="1" x14ac:dyDescent="0.3">
      <c r="A9" s="2"/>
      <c r="B9" s="2"/>
      <c r="C9" s="12" t="s">
        <v>36</v>
      </c>
      <c r="D9" s="4"/>
      <c r="E9" s="44"/>
      <c r="F9" s="44"/>
      <c r="H9" s="53"/>
      <c r="I9" s="125">
        <v>3103</v>
      </c>
      <c r="J9" s="37">
        <v>20</v>
      </c>
      <c r="K9" s="18"/>
      <c r="L9" s="17"/>
      <c r="M9" s="36"/>
      <c r="N9" s="36"/>
      <c r="O9" s="37"/>
      <c r="P9" s="17"/>
      <c r="Q9" s="36"/>
      <c r="R9" s="36"/>
      <c r="W9" s="18" t="s">
        <v>15</v>
      </c>
    </row>
    <row r="10" spans="1:25" ht="24.9" customHeight="1" x14ac:dyDescent="0.3">
      <c r="A10" s="2" t="s">
        <v>34</v>
      </c>
      <c r="B10" s="2">
        <v>2</v>
      </c>
      <c r="C10" s="12" t="s">
        <v>29</v>
      </c>
      <c r="D10" s="4">
        <v>100</v>
      </c>
      <c r="E10" s="44">
        <v>300</v>
      </c>
      <c r="F10" s="44"/>
      <c r="H10" s="44"/>
      <c r="I10" s="44">
        <v>670</v>
      </c>
      <c r="J10" s="39">
        <v>27</v>
      </c>
      <c r="W10" s="18"/>
    </row>
    <row r="11" spans="1:25" ht="24.9" customHeight="1" x14ac:dyDescent="0.3">
      <c r="A11" s="2"/>
      <c r="B11" s="2"/>
      <c r="C11" s="4" t="s">
        <v>37</v>
      </c>
      <c r="D11" s="4">
        <v>101</v>
      </c>
      <c r="E11" s="44"/>
      <c r="F11" s="44">
        <v>300</v>
      </c>
      <c r="G11" s="19"/>
      <c r="H11" s="44"/>
      <c r="I11" s="44">
        <v>1500</v>
      </c>
      <c r="J11" s="39">
        <v>30</v>
      </c>
      <c r="S11" s="37"/>
      <c r="T11" s="3"/>
      <c r="U11" s="3"/>
      <c r="W11" s="71"/>
      <c r="X11" s="71"/>
      <c r="Y11" s="23"/>
    </row>
    <row r="12" spans="1:25" ht="39" customHeight="1" x14ac:dyDescent="0.3">
      <c r="A12" s="2"/>
      <c r="B12" s="2"/>
      <c r="C12" s="27" t="s">
        <v>38</v>
      </c>
      <c r="D12" s="4"/>
      <c r="E12" s="44"/>
      <c r="F12" s="44"/>
      <c r="H12" s="33">
        <f>SUM(H3:H4)-SUM(I3:I11)</f>
        <v>174076</v>
      </c>
      <c r="T12" s="11"/>
      <c r="U12" s="11"/>
      <c r="W12" s="3"/>
      <c r="X12" s="3"/>
    </row>
    <row r="13" spans="1:25" ht="15.6" x14ac:dyDescent="0.3">
      <c r="A13" s="2" t="s">
        <v>34</v>
      </c>
      <c r="B13" s="26">
        <v>3</v>
      </c>
      <c r="C13" s="12" t="s">
        <v>39</v>
      </c>
      <c r="D13" s="4">
        <v>104</v>
      </c>
      <c r="E13" s="44">
        <v>12500</v>
      </c>
      <c r="F13" s="44"/>
      <c r="H13" s="36"/>
      <c r="I13" s="36"/>
      <c r="J13" s="37"/>
      <c r="K13" s="18"/>
      <c r="L13" s="17"/>
      <c r="M13" s="36"/>
      <c r="N13" s="36"/>
      <c r="O13" s="37"/>
      <c r="P13" s="17"/>
      <c r="Q13" s="36"/>
      <c r="R13" s="36"/>
      <c r="T13" s="11"/>
      <c r="U13" s="11"/>
      <c r="V13" s="11"/>
      <c r="W13" s="24"/>
      <c r="X13" s="29"/>
    </row>
    <row r="14" spans="1:25" ht="15.6" x14ac:dyDescent="0.3">
      <c r="A14" s="2"/>
      <c r="B14" s="26"/>
      <c r="C14" s="12" t="s">
        <v>44</v>
      </c>
      <c r="D14" s="4">
        <v>608</v>
      </c>
      <c r="E14" s="44">
        <f>12500*0.07</f>
        <v>875.00000000000011</v>
      </c>
      <c r="F14" s="44"/>
      <c r="H14" s="70" t="s">
        <v>65</v>
      </c>
      <c r="I14" s="70"/>
      <c r="J14" s="37"/>
      <c r="K14" s="3"/>
      <c r="M14" s="70" t="s">
        <v>62</v>
      </c>
      <c r="N14" s="70"/>
      <c r="O14" s="40"/>
      <c r="P14" s="17"/>
      <c r="Q14" s="70" t="s">
        <v>78</v>
      </c>
      <c r="R14" s="70"/>
      <c r="T14" s="11"/>
      <c r="U14" s="70" t="s">
        <v>69</v>
      </c>
      <c r="V14" s="70"/>
      <c r="W14" s="24"/>
      <c r="X14" s="29"/>
    </row>
    <row r="15" spans="1:25" ht="15.6" x14ac:dyDescent="0.3">
      <c r="A15" s="2"/>
      <c r="B15" s="2"/>
      <c r="C15" s="12" t="s">
        <v>32</v>
      </c>
      <c r="D15" s="4">
        <v>101</v>
      </c>
      <c r="E15" s="44"/>
      <c r="F15" s="44">
        <f>((1250)+1250*0.07)*10</f>
        <v>13375</v>
      </c>
      <c r="H15" s="32" t="s">
        <v>4</v>
      </c>
      <c r="I15" s="32" t="s">
        <v>5</v>
      </c>
      <c r="J15" s="37"/>
      <c r="K15" s="3"/>
      <c r="M15" s="32" t="s">
        <v>4</v>
      </c>
      <c r="N15" s="32" t="s">
        <v>5</v>
      </c>
      <c r="Q15" s="32" t="s">
        <v>4</v>
      </c>
      <c r="R15" s="32" t="s">
        <v>5</v>
      </c>
      <c r="U15" s="32" t="s">
        <v>4</v>
      </c>
      <c r="V15" s="32" t="s">
        <v>5</v>
      </c>
    </row>
    <row r="16" spans="1:25" ht="34.5" customHeight="1" x14ac:dyDescent="0.3">
      <c r="A16" s="2"/>
      <c r="B16" s="2"/>
      <c r="C16" s="12" t="s">
        <v>40</v>
      </c>
      <c r="D16" s="4"/>
      <c r="E16" s="44"/>
      <c r="F16" s="44"/>
      <c r="G16" s="13">
        <v>25</v>
      </c>
      <c r="H16" s="44">
        <v>245</v>
      </c>
      <c r="I16" s="44">
        <v>245</v>
      </c>
      <c r="J16" s="39">
        <v>10</v>
      </c>
      <c r="L16" s="13">
        <v>2</v>
      </c>
      <c r="M16" s="44">
        <v>300</v>
      </c>
      <c r="N16" s="44"/>
      <c r="P16" s="13">
        <v>3</v>
      </c>
      <c r="Q16" s="44">
        <v>875</v>
      </c>
      <c r="R16" s="44"/>
      <c r="S16" s="37"/>
      <c r="T16" s="3">
        <v>20</v>
      </c>
      <c r="U16" s="44">
        <v>2900</v>
      </c>
      <c r="V16" s="42"/>
      <c r="W16" s="30"/>
      <c r="X16" s="3"/>
    </row>
    <row r="17" spans="1:29" ht="40.5" customHeight="1" x14ac:dyDescent="0.3">
      <c r="A17" s="2" t="s">
        <v>34</v>
      </c>
      <c r="B17" s="26">
        <v>4</v>
      </c>
      <c r="C17" s="27" t="s">
        <v>41</v>
      </c>
      <c r="D17" s="4">
        <v>606</v>
      </c>
      <c r="E17" s="44">
        <f>850-59.5</f>
        <v>790.5</v>
      </c>
      <c r="F17" s="44"/>
      <c r="H17" s="44"/>
      <c r="I17" s="44"/>
      <c r="M17" s="44"/>
      <c r="N17" s="44"/>
      <c r="P17" s="13">
        <v>4</v>
      </c>
      <c r="Q17" s="44">
        <v>59.5</v>
      </c>
      <c r="R17" s="44"/>
      <c r="U17" s="44"/>
      <c r="V17" s="44"/>
    </row>
    <row r="18" spans="1:29" ht="40.5" customHeight="1" x14ac:dyDescent="0.3">
      <c r="A18" s="2"/>
      <c r="B18" s="26"/>
      <c r="C18" s="27" t="s">
        <v>44</v>
      </c>
      <c r="D18" s="4">
        <v>608</v>
      </c>
      <c r="E18" s="44">
        <f>(850+(850*0.07))-850</f>
        <v>59.5</v>
      </c>
      <c r="F18" s="44"/>
      <c r="H18" s="44"/>
      <c r="I18" s="44"/>
      <c r="M18" s="44"/>
      <c r="N18" s="44"/>
      <c r="P18" s="13">
        <v>8</v>
      </c>
      <c r="Q18" s="44">
        <v>84</v>
      </c>
      <c r="R18" s="44"/>
      <c r="U18" s="44"/>
      <c r="V18" s="44"/>
    </row>
    <row r="19" spans="1:29" ht="15.6" x14ac:dyDescent="0.3">
      <c r="A19" s="2"/>
      <c r="B19" s="2"/>
      <c r="C19" s="12" t="s">
        <v>32</v>
      </c>
      <c r="D19" s="4">
        <v>101</v>
      </c>
      <c r="E19" s="44"/>
      <c r="F19" s="44">
        <v>850</v>
      </c>
      <c r="H19" s="105"/>
      <c r="I19" s="42"/>
      <c r="J19" s="37"/>
      <c r="K19" s="3"/>
      <c r="L19" s="17"/>
      <c r="M19" s="42"/>
      <c r="N19" s="42"/>
      <c r="O19" s="37"/>
      <c r="P19" s="127">
        <v>18</v>
      </c>
      <c r="Q19" s="105">
        <v>126</v>
      </c>
      <c r="R19" s="42"/>
      <c r="U19" s="42"/>
      <c r="V19" s="42"/>
    </row>
    <row r="20" spans="1:29" ht="46.8" x14ac:dyDescent="0.3">
      <c r="A20" s="2"/>
      <c r="B20" s="2"/>
      <c r="C20" s="12" t="s">
        <v>42</v>
      </c>
      <c r="D20" s="4"/>
      <c r="E20" s="44"/>
      <c r="F20" s="44"/>
      <c r="M20" s="36">
        <f ca="1">SUM(M16:M22)</f>
        <v>300</v>
      </c>
      <c r="P20" s="13">
        <v>20</v>
      </c>
      <c r="Q20" s="44">
        <v>203</v>
      </c>
      <c r="R20" s="44"/>
      <c r="U20" s="44"/>
      <c r="V20" s="53"/>
      <c r="X20" s="3"/>
      <c r="Y20" s="3"/>
      <c r="AB20" s="33"/>
      <c r="AC20" s="33"/>
    </row>
    <row r="21" spans="1:29" ht="33" customHeight="1" x14ac:dyDescent="0.3">
      <c r="A21" s="2" t="s">
        <v>34</v>
      </c>
      <c r="B21" s="2">
        <v>8</v>
      </c>
      <c r="C21" s="12" t="s">
        <v>43</v>
      </c>
      <c r="D21" s="4">
        <v>601</v>
      </c>
      <c r="E21" s="44">
        <f>1200-84</f>
        <v>1116</v>
      </c>
      <c r="F21" s="44"/>
      <c r="P21" s="13">
        <v>30</v>
      </c>
      <c r="Q21" s="44">
        <v>105</v>
      </c>
      <c r="R21" s="44"/>
      <c r="V21" s="36"/>
      <c r="X21" s="3"/>
      <c r="Y21" s="3"/>
      <c r="AB21" s="33"/>
      <c r="AC21" s="33"/>
    </row>
    <row r="22" spans="1:29" ht="33" customHeight="1" x14ac:dyDescent="0.3">
      <c r="A22" s="2"/>
      <c r="B22" s="2"/>
      <c r="C22" s="12" t="s">
        <v>44</v>
      </c>
      <c r="D22" s="4">
        <v>608</v>
      </c>
      <c r="E22" s="44">
        <f>1200*0.07</f>
        <v>84.000000000000014</v>
      </c>
      <c r="F22" s="44"/>
      <c r="I22"/>
      <c r="J22" s="37"/>
      <c r="K22" s="18"/>
      <c r="Q22" s="44"/>
      <c r="R22" s="53"/>
      <c r="X22" s="3"/>
      <c r="Y22" s="3"/>
      <c r="AB22" s="33"/>
      <c r="AC22" s="33"/>
    </row>
    <row r="23" spans="1:29" ht="28.5" customHeight="1" x14ac:dyDescent="0.3">
      <c r="A23" s="2"/>
      <c r="B23" s="2"/>
      <c r="C23" s="12" t="s">
        <v>37</v>
      </c>
      <c r="D23" s="4">
        <v>101</v>
      </c>
      <c r="E23" s="44"/>
      <c r="F23" s="44">
        <v>1200</v>
      </c>
      <c r="G23" s="14"/>
      <c r="H23"/>
      <c r="I23" s="36"/>
      <c r="J23" s="37"/>
      <c r="K23" s="18"/>
      <c r="L23" s="17"/>
      <c r="N23"/>
      <c r="O23" s="37"/>
      <c r="P23" s="17"/>
      <c r="Q23" s="36">
        <f>SUM(Q16:Q22)</f>
        <v>1452.5</v>
      </c>
      <c r="R23" s="36"/>
      <c r="X23" s="3"/>
      <c r="Y23" s="3"/>
      <c r="Z23" s="45"/>
      <c r="AB23" s="33"/>
      <c r="AC23" s="33"/>
    </row>
    <row r="24" spans="1:29" ht="35.25" customHeight="1" x14ac:dyDescent="0.3">
      <c r="A24" s="2"/>
      <c r="B24" s="2"/>
      <c r="C24" s="27" t="s">
        <v>45</v>
      </c>
      <c r="D24" s="4"/>
      <c r="E24" s="44"/>
      <c r="F24" s="44"/>
      <c r="H24"/>
      <c r="I24" s="36"/>
      <c r="J24" s="37"/>
      <c r="K24" s="18"/>
      <c r="L24" s="17"/>
      <c r="M24"/>
      <c r="N24" s="36"/>
      <c r="O24" s="37"/>
      <c r="P24" s="17"/>
      <c r="Q24"/>
      <c r="R24" s="36"/>
      <c r="W24" s="10"/>
    </row>
    <row r="25" spans="1:29" ht="30.75" customHeight="1" x14ac:dyDescent="0.3">
      <c r="A25" s="2" t="s">
        <v>34</v>
      </c>
      <c r="B25" s="2">
        <v>10</v>
      </c>
      <c r="C25" s="4" t="s">
        <v>48</v>
      </c>
      <c r="D25" s="4">
        <v>102</v>
      </c>
      <c r="E25" s="44">
        <f>3500+(3500*0.07)</f>
        <v>3745</v>
      </c>
      <c r="F25" s="44"/>
      <c r="H25" s="36"/>
      <c r="I25" s="36"/>
      <c r="J25" s="37"/>
      <c r="K25" s="18"/>
      <c r="L25" s="17"/>
      <c r="M25" s="36"/>
      <c r="N25" s="36"/>
      <c r="O25" s="37"/>
      <c r="P25" s="17"/>
      <c r="Q25" s="36"/>
      <c r="R25" s="36"/>
    </row>
    <row r="26" spans="1:29" ht="24.9" customHeight="1" x14ac:dyDescent="0.3">
      <c r="A26" s="2"/>
      <c r="B26" s="2"/>
      <c r="C26" s="69" t="s">
        <v>46</v>
      </c>
      <c r="D26" s="4">
        <v>400</v>
      </c>
      <c r="E26" s="44">
        <v>0</v>
      </c>
      <c r="F26" s="44">
        <f>E25-F27</f>
        <v>3500</v>
      </c>
      <c r="H26" s="70" t="s">
        <v>76</v>
      </c>
      <c r="I26" s="70"/>
      <c r="J26" s="37"/>
      <c r="K26" s="3"/>
      <c r="M26" s="70" t="s">
        <v>68</v>
      </c>
      <c r="N26" s="70"/>
      <c r="O26" s="40"/>
      <c r="Q26" s="70" t="s">
        <v>71</v>
      </c>
      <c r="R26" s="70"/>
    </row>
    <row r="27" spans="1:29" ht="42" customHeight="1" x14ac:dyDescent="0.3">
      <c r="A27" s="2"/>
      <c r="B27" s="2"/>
      <c r="C27" s="4" t="s">
        <v>47</v>
      </c>
      <c r="D27" s="4">
        <v>200</v>
      </c>
      <c r="E27" s="44"/>
      <c r="F27" s="44">
        <f>3500*0.07</f>
        <v>245.00000000000003</v>
      </c>
      <c r="H27" s="32" t="s">
        <v>4</v>
      </c>
      <c r="I27" s="32" t="s">
        <v>5</v>
      </c>
      <c r="J27" s="37"/>
      <c r="K27" s="3"/>
      <c r="M27" s="32" t="s">
        <v>4</v>
      </c>
      <c r="N27" s="32" t="s">
        <v>5</v>
      </c>
      <c r="Q27" s="32" t="s">
        <v>4</v>
      </c>
      <c r="R27" s="32" t="s">
        <v>5</v>
      </c>
    </row>
    <row r="28" spans="1:29" ht="42" customHeight="1" x14ac:dyDescent="0.3">
      <c r="A28" s="2"/>
      <c r="B28" s="2"/>
      <c r="C28" s="12" t="s">
        <v>87</v>
      </c>
      <c r="D28" s="4"/>
      <c r="E28" s="44"/>
      <c r="F28" s="44"/>
      <c r="G28" s="13">
        <v>4</v>
      </c>
      <c r="H28" s="44">
        <v>790.5</v>
      </c>
      <c r="I28" s="44"/>
      <c r="L28" s="13">
        <v>3</v>
      </c>
      <c r="M28" s="44">
        <v>12500</v>
      </c>
      <c r="N28" s="44"/>
      <c r="P28" s="13">
        <v>8</v>
      </c>
      <c r="Q28" s="44">
        <v>1116</v>
      </c>
      <c r="R28" s="44"/>
    </row>
    <row r="29" spans="1:29" ht="42" customHeight="1" x14ac:dyDescent="0.3">
      <c r="A29" s="2" t="s">
        <v>34</v>
      </c>
      <c r="B29" s="2">
        <v>15</v>
      </c>
      <c r="C29" s="12" t="s">
        <v>49</v>
      </c>
      <c r="D29" s="4">
        <v>600</v>
      </c>
      <c r="E29" s="44">
        <v>6500</v>
      </c>
      <c r="F29" s="44"/>
      <c r="H29" s="44"/>
      <c r="I29" s="44"/>
      <c r="M29" s="44"/>
      <c r="N29" s="44"/>
      <c r="Q29" s="44"/>
      <c r="R29" s="44"/>
    </row>
    <row r="30" spans="1:29" ht="42" customHeight="1" x14ac:dyDescent="0.3">
      <c r="A30" s="2"/>
      <c r="B30" s="2"/>
      <c r="C30" s="12" t="s">
        <v>37</v>
      </c>
      <c r="D30" s="4">
        <v>101</v>
      </c>
      <c r="E30" s="44"/>
      <c r="F30" s="44">
        <v>6500</v>
      </c>
      <c r="H30" s="42"/>
      <c r="I30" s="42"/>
      <c r="J30" s="37"/>
      <c r="K30" s="3"/>
      <c r="M30" s="42"/>
      <c r="N30" s="44"/>
      <c r="Q30" s="105"/>
      <c r="R30" s="42"/>
    </row>
    <row r="31" spans="1:29" ht="54" customHeight="1" x14ac:dyDescent="0.3">
      <c r="A31" s="2"/>
      <c r="B31" s="2"/>
      <c r="C31" s="12" t="s">
        <v>50</v>
      </c>
      <c r="D31" s="4"/>
      <c r="E31" s="44"/>
      <c r="F31" s="44"/>
      <c r="H31" s="42"/>
      <c r="I31" s="42"/>
      <c r="J31" s="37"/>
      <c r="K31" s="3"/>
      <c r="M31" s="35"/>
      <c r="Q31" s="46"/>
      <c r="R31" s="35"/>
    </row>
    <row r="32" spans="1:29" ht="15.6" x14ac:dyDescent="0.3">
      <c r="A32" s="2" t="s">
        <v>34</v>
      </c>
      <c r="B32" s="2">
        <v>18</v>
      </c>
      <c r="C32" s="4" t="s">
        <v>51</v>
      </c>
      <c r="D32" s="4">
        <v>607</v>
      </c>
      <c r="E32" s="44">
        <v>1800</v>
      </c>
      <c r="F32" s="44"/>
      <c r="H32" s="35"/>
      <c r="I32" s="35"/>
      <c r="J32" s="37"/>
      <c r="K32" s="3"/>
      <c r="M32" s="35"/>
      <c r="Q32" s="46"/>
      <c r="R32" s="35"/>
      <c r="S32" s="37"/>
      <c r="T32" s="3"/>
      <c r="U32" s="3"/>
    </row>
    <row r="33" spans="1:23" ht="36" customHeight="1" x14ac:dyDescent="0.3">
      <c r="A33" s="2"/>
      <c r="B33" s="2"/>
      <c r="C33" s="12" t="s">
        <v>66</v>
      </c>
      <c r="D33" s="4">
        <v>608</v>
      </c>
      <c r="E33" s="44">
        <f>1800 *0.07</f>
        <v>126.00000000000001</v>
      </c>
      <c r="F33" s="44"/>
      <c r="H33" s="35"/>
      <c r="I33" s="35"/>
      <c r="J33" s="37"/>
      <c r="K33" s="3"/>
      <c r="M33" s="35"/>
      <c r="Q33" s="34"/>
      <c r="R33" s="35"/>
      <c r="T33" s="11"/>
      <c r="U33" s="11"/>
      <c r="W33" s="10"/>
    </row>
    <row r="34" spans="1:23" ht="34.5" customHeight="1" x14ac:dyDescent="0.3">
      <c r="A34" s="2"/>
      <c r="B34" s="2"/>
      <c r="C34" s="12" t="s">
        <v>32</v>
      </c>
      <c r="D34" s="4">
        <v>101</v>
      </c>
      <c r="E34" s="44"/>
      <c r="F34" s="44">
        <f>1800+(1800*0.07)</f>
        <v>1926</v>
      </c>
      <c r="H34"/>
      <c r="M34"/>
      <c r="W34" s="10"/>
    </row>
    <row r="35" spans="1:23" ht="31.2" x14ac:dyDescent="0.3">
      <c r="A35" s="2"/>
      <c r="B35" s="2"/>
      <c r="C35" s="16" t="s">
        <v>52</v>
      </c>
      <c r="D35" s="4"/>
      <c r="E35" s="44"/>
      <c r="F35" s="44"/>
      <c r="H35" s="36"/>
      <c r="M35" s="36"/>
      <c r="P35" s="17"/>
      <c r="R35"/>
      <c r="V35" s="31"/>
      <c r="W35" s="10"/>
    </row>
    <row r="36" spans="1:23" ht="24.9" customHeight="1" x14ac:dyDescent="0.3">
      <c r="A36" s="2" t="s">
        <v>34</v>
      </c>
      <c r="B36" s="2">
        <v>20</v>
      </c>
      <c r="C36" s="27" t="s">
        <v>53</v>
      </c>
      <c r="D36" s="4">
        <v>103</v>
      </c>
      <c r="E36" s="44">
        <v>2900</v>
      </c>
      <c r="F36" s="44"/>
      <c r="H36" s="70" t="s">
        <v>82</v>
      </c>
      <c r="I36" s="70"/>
      <c r="J36" s="37"/>
      <c r="K36" s="3"/>
      <c r="M36" s="70" t="s">
        <v>70</v>
      </c>
      <c r="N36" s="70"/>
      <c r="O36" s="40"/>
      <c r="Q36" s="70" t="s">
        <v>77</v>
      </c>
      <c r="R36" s="70"/>
      <c r="S36" s="37"/>
      <c r="T36" s="3"/>
      <c r="U36" s="3"/>
      <c r="V36" s="3"/>
    </row>
    <row r="37" spans="1:23" ht="60" customHeight="1" x14ac:dyDescent="0.3">
      <c r="A37" s="2"/>
      <c r="B37" s="2"/>
      <c r="C37" s="28" t="s">
        <v>66</v>
      </c>
      <c r="D37" s="4">
        <v>608</v>
      </c>
      <c r="E37" s="44">
        <f>E36*0.07</f>
        <v>203.00000000000003</v>
      </c>
      <c r="F37" s="44"/>
      <c r="H37" s="32" t="s">
        <v>4</v>
      </c>
      <c r="I37" s="32" t="s">
        <v>5</v>
      </c>
      <c r="J37" s="37"/>
      <c r="K37" s="3"/>
      <c r="M37" s="32" t="s">
        <v>4</v>
      </c>
      <c r="N37" s="32" t="s">
        <v>5</v>
      </c>
      <c r="Q37" s="32" t="s">
        <v>4</v>
      </c>
      <c r="R37" s="32" t="s">
        <v>5</v>
      </c>
    </row>
    <row r="38" spans="1:23" ht="24.9" customHeight="1" x14ac:dyDescent="0.3">
      <c r="A38" s="2"/>
      <c r="B38" s="2"/>
      <c r="C38" s="4" t="s">
        <v>32</v>
      </c>
      <c r="D38" s="4">
        <v>101</v>
      </c>
      <c r="E38" s="44"/>
      <c r="F38" s="44">
        <f>SUM(E36:E37)</f>
        <v>3103</v>
      </c>
      <c r="H38" s="44"/>
      <c r="I38" s="44">
        <v>3500</v>
      </c>
      <c r="J38" s="39">
        <v>10</v>
      </c>
      <c r="L38" s="13">
        <v>15</v>
      </c>
      <c r="M38" s="44">
        <v>6500</v>
      </c>
      <c r="N38" s="44"/>
      <c r="P38" s="13">
        <v>18</v>
      </c>
      <c r="Q38" s="44">
        <v>1800</v>
      </c>
      <c r="R38" s="44"/>
      <c r="S38" s="37"/>
      <c r="T38" s="3"/>
      <c r="U38" s="3"/>
    </row>
    <row r="39" spans="1:23" ht="31.2" x14ac:dyDescent="0.3">
      <c r="A39" s="2"/>
      <c r="B39" s="2"/>
      <c r="C39" s="16" t="s">
        <v>54</v>
      </c>
      <c r="D39" s="4"/>
      <c r="E39" s="44"/>
      <c r="F39" s="44"/>
      <c r="H39" s="44"/>
      <c r="I39" s="44"/>
      <c r="M39" s="44"/>
      <c r="N39" s="44"/>
      <c r="P39" s="17"/>
      <c r="Q39" s="44"/>
      <c r="R39" s="44"/>
      <c r="T39" s="11"/>
      <c r="U39" s="11"/>
    </row>
    <row r="40" spans="1:23" ht="24.9" customHeight="1" x14ac:dyDescent="0.3">
      <c r="A40" s="2" t="s">
        <v>34</v>
      </c>
      <c r="B40" s="2">
        <v>25</v>
      </c>
      <c r="C40" s="4" t="s">
        <v>27</v>
      </c>
      <c r="D40" s="4">
        <v>101</v>
      </c>
      <c r="E40" s="44">
        <v>3500</v>
      </c>
      <c r="F40" s="44"/>
      <c r="H40" s="42"/>
      <c r="I40" s="42"/>
      <c r="J40" s="37"/>
      <c r="K40" s="3"/>
      <c r="L40" s="17"/>
      <c r="M40" s="42"/>
      <c r="N40" s="42"/>
      <c r="O40" s="37"/>
      <c r="Q40" s="42"/>
      <c r="R40" s="42"/>
      <c r="S40" s="38"/>
      <c r="T40" s="10"/>
      <c r="U40" s="10"/>
    </row>
    <row r="41" spans="1:23" ht="24.9" customHeight="1" x14ac:dyDescent="0.3">
      <c r="A41" s="2"/>
      <c r="B41" s="2"/>
      <c r="C41" s="4" t="s">
        <v>47</v>
      </c>
      <c r="D41" s="4">
        <v>200</v>
      </c>
      <c r="E41" s="44">
        <v>245</v>
      </c>
      <c r="F41" s="44"/>
      <c r="H41" s="53"/>
      <c r="I41" s="44"/>
      <c r="M41" s="44"/>
      <c r="N41" s="53"/>
      <c r="P41" s="17"/>
      <c r="Q41" s="44"/>
      <c r="R41" s="53"/>
    </row>
    <row r="42" spans="1:23" ht="45" customHeight="1" x14ac:dyDescent="0.3">
      <c r="A42" s="2"/>
      <c r="B42" s="2"/>
      <c r="C42" s="16" t="s">
        <v>55</v>
      </c>
      <c r="D42" s="4">
        <v>102</v>
      </c>
      <c r="E42" s="44"/>
      <c r="F42" s="44">
        <f>SUM(E40:E41)</f>
        <v>3745</v>
      </c>
      <c r="H42" s="36"/>
      <c r="I42" s="36"/>
      <c r="J42" s="37"/>
      <c r="K42" s="3"/>
      <c r="L42" s="17"/>
      <c r="M42" s="36"/>
      <c r="N42" s="36"/>
      <c r="O42" s="37"/>
      <c r="P42" s="17"/>
      <c r="Q42" s="35"/>
      <c r="R42" s="35"/>
      <c r="S42" s="37"/>
      <c r="T42" s="3"/>
      <c r="U42" s="3"/>
    </row>
    <row r="43" spans="1:23" ht="45" customHeight="1" x14ac:dyDescent="0.3">
      <c r="A43" s="2"/>
      <c r="B43" s="2"/>
      <c r="C43" s="16" t="s">
        <v>86</v>
      </c>
      <c r="D43" s="4"/>
      <c r="E43" s="44"/>
      <c r="F43" s="44"/>
      <c r="H43" s="35"/>
      <c r="I43" s="35"/>
      <c r="J43" s="37"/>
      <c r="K43" s="3"/>
      <c r="L43" s="17"/>
      <c r="M43" s="35"/>
      <c r="N43" s="35"/>
      <c r="O43" s="37"/>
      <c r="P43" s="47"/>
      <c r="Q43" s="36"/>
      <c r="R43" s="36"/>
      <c r="S43" s="37"/>
      <c r="T43" s="3"/>
      <c r="U43" s="3"/>
    </row>
    <row r="44" spans="1:23" ht="24.9" customHeight="1" x14ac:dyDescent="0.3">
      <c r="A44" s="2" t="s">
        <v>34</v>
      </c>
      <c r="B44" s="2">
        <v>27</v>
      </c>
      <c r="C44" s="4" t="s">
        <v>56</v>
      </c>
      <c r="D44" s="4">
        <v>602</v>
      </c>
      <c r="E44" s="44">
        <v>400</v>
      </c>
      <c r="F44" s="44"/>
      <c r="H44" s="70" t="s">
        <v>72</v>
      </c>
      <c r="I44" s="70"/>
      <c r="K44" s="3"/>
      <c r="M44" s="70" t="s">
        <v>73</v>
      </c>
      <c r="N44" s="70"/>
      <c r="Q44" s="70" t="s">
        <v>74</v>
      </c>
      <c r="R44" s="70"/>
    </row>
    <row r="45" spans="1:23" ht="24.9" customHeight="1" x14ac:dyDescent="0.3">
      <c r="A45" s="2"/>
      <c r="B45" s="2"/>
      <c r="C45" s="4" t="s">
        <v>57</v>
      </c>
      <c r="D45" s="4">
        <v>603</v>
      </c>
      <c r="E45" s="44">
        <v>150</v>
      </c>
      <c r="F45" s="44"/>
      <c r="H45" s="32" t="s">
        <v>4</v>
      </c>
      <c r="I45" s="32" t="s">
        <v>5</v>
      </c>
      <c r="K45" s="3"/>
      <c r="M45" s="32" t="s">
        <v>4</v>
      </c>
      <c r="N45" s="32" t="s">
        <v>5</v>
      </c>
      <c r="P45" s="17"/>
      <c r="Q45" s="32" t="s">
        <v>4</v>
      </c>
      <c r="R45" s="32" t="s">
        <v>5</v>
      </c>
    </row>
    <row r="46" spans="1:23" ht="56.55" customHeight="1" x14ac:dyDescent="0.3">
      <c r="A46" s="2"/>
      <c r="B46" s="2"/>
      <c r="C46" s="16" t="s">
        <v>58</v>
      </c>
      <c r="D46" s="4">
        <v>604</v>
      </c>
      <c r="E46" s="44">
        <v>120</v>
      </c>
      <c r="F46" s="44"/>
      <c r="G46" s="13">
        <v>27</v>
      </c>
      <c r="H46" s="106">
        <v>400</v>
      </c>
      <c r="I46" s="42"/>
      <c r="K46" s="3"/>
      <c r="L46" s="13">
        <v>27</v>
      </c>
      <c r="M46" s="42">
        <v>150</v>
      </c>
      <c r="N46" s="44"/>
      <c r="P46" s="13">
        <v>27</v>
      </c>
      <c r="Q46" s="44">
        <v>120</v>
      </c>
      <c r="R46" s="42"/>
    </row>
    <row r="47" spans="1:23" ht="15.6" x14ac:dyDescent="0.3">
      <c r="A47" s="2"/>
      <c r="B47" s="2"/>
      <c r="C47" s="4" t="s">
        <v>32</v>
      </c>
      <c r="D47" s="4">
        <v>101</v>
      </c>
      <c r="E47" s="44"/>
      <c r="F47" s="44">
        <f>SUM(E44:E46)</f>
        <v>670</v>
      </c>
      <c r="H47" s="44"/>
      <c r="I47" s="44"/>
      <c r="M47" s="44"/>
      <c r="N47" s="44"/>
      <c r="Q47" s="44"/>
      <c r="R47" s="44"/>
    </row>
    <row r="48" spans="1:23" ht="38.4" customHeight="1" x14ac:dyDescent="0.3">
      <c r="A48" s="2"/>
      <c r="B48" s="2"/>
      <c r="C48" s="16" t="s">
        <v>85</v>
      </c>
      <c r="D48" s="4"/>
      <c r="E48" s="44"/>
      <c r="F48" s="44"/>
      <c r="H48" s="44"/>
      <c r="I48" s="44"/>
      <c r="M48" s="44"/>
      <c r="N48" s="44"/>
      <c r="Q48" s="44"/>
      <c r="R48" s="44"/>
    </row>
    <row r="49" spans="1:18" ht="24.9" customHeight="1" x14ac:dyDescent="0.3">
      <c r="A49" s="2" t="s">
        <v>34</v>
      </c>
      <c r="B49" s="2">
        <v>30</v>
      </c>
      <c r="C49" s="4" t="s">
        <v>60</v>
      </c>
      <c r="D49" s="4">
        <v>605</v>
      </c>
      <c r="E49" s="44">
        <f>F51-E50</f>
        <v>1395</v>
      </c>
      <c r="F49" s="44"/>
      <c r="H49" s="42"/>
      <c r="I49" s="42"/>
      <c r="K49" s="3"/>
      <c r="L49" s="17"/>
      <c r="M49" s="42"/>
      <c r="N49" s="42"/>
      <c r="Q49" s="42"/>
      <c r="R49" s="42"/>
    </row>
    <row r="50" spans="1:18" ht="24.9" customHeight="1" x14ac:dyDescent="0.3">
      <c r="A50" s="2"/>
      <c r="B50" s="2"/>
      <c r="C50" s="4" t="s">
        <v>61</v>
      </c>
      <c r="D50" s="4">
        <v>608</v>
      </c>
      <c r="E50" s="44">
        <f>F51*0.07</f>
        <v>105.00000000000001</v>
      </c>
      <c r="F50" s="44"/>
      <c r="H50" s="44"/>
      <c r="I50" s="53"/>
      <c r="M50" s="44"/>
      <c r="N50" s="53"/>
      <c r="Q50" s="44"/>
      <c r="R50" s="53"/>
    </row>
    <row r="51" spans="1:18" ht="24.9" customHeight="1" x14ac:dyDescent="0.3">
      <c r="A51" s="2"/>
      <c r="B51" s="2"/>
      <c r="C51" s="4" t="s">
        <v>27</v>
      </c>
      <c r="D51" s="4">
        <v>101</v>
      </c>
      <c r="E51" s="44"/>
      <c r="F51" s="44">
        <v>1500</v>
      </c>
      <c r="H51"/>
      <c r="I51"/>
      <c r="J51" s="37"/>
      <c r="K51" s="3"/>
      <c r="L51" s="17"/>
      <c r="M51" s="36"/>
      <c r="N51"/>
      <c r="O51" s="37"/>
      <c r="P51" s="17"/>
      <c r="Q51"/>
      <c r="R51" s="36"/>
    </row>
    <row r="52" spans="1:18" ht="34.200000000000003" customHeight="1" x14ac:dyDescent="0.3">
      <c r="A52" s="2"/>
      <c r="B52" s="2"/>
      <c r="C52" s="16" t="s">
        <v>84</v>
      </c>
      <c r="D52" s="4"/>
      <c r="E52" s="44"/>
      <c r="F52" s="44"/>
      <c r="H52"/>
      <c r="I52"/>
      <c r="J52" s="37"/>
      <c r="K52" s="18"/>
      <c r="L52" s="17"/>
      <c r="M52" s="36"/>
      <c r="N52"/>
      <c r="O52" s="37"/>
      <c r="P52" s="17"/>
      <c r="Q52"/>
      <c r="R52" s="36"/>
    </row>
    <row r="53" spans="1:18" ht="24.9" customHeight="1" x14ac:dyDescent="0.3">
      <c r="E53"/>
      <c r="F53"/>
    </row>
    <row r="54" spans="1:18" ht="24.9" customHeight="1" x14ac:dyDescent="0.3">
      <c r="M54" s="70" t="s">
        <v>75</v>
      </c>
      <c r="N54" s="70"/>
    </row>
    <row r="55" spans="1:18" ht="24.9" customHeight="1" x14ac:dyDescent="0.3">
      <c r="M55" s="32" t="s">
        <v>4</v>
      </c>
      <c r="N55" s="32" t="s">
        <v>5</v>
      </c>
    </row>
    <row r="56" spans="1:18" ht="24.9" customHeight="1" x14ac:dyDescent="0.3">
      <c r="L56" s="13">
        <v>30</v>
      </c>
      <c r="M56" s="106">
        <v>1395</v>
      </c>
      <c r="N56" s="42"/>
    </row>
    <row r="57" spans="1:18" ht="24.9" customHeight="1" x14ac:dyDescent="0.3">
      <c r="M57" s="44"/>
      <c r="N57" s="44"/>
    </row>
    <row r="58" spans="1:18" ht="24.9" customHeight="1" x14ac:dyDescent="0.3">
      <c r="M58" s="44"/>
      <c r="N58" s="44"/>
    </row>
    <row r="59" spans="1:18" ht="24.9" customHeight="1" x14ac:dyDescent="0.3">
      <c r="M59" s="42"/>
      <c r="N59" s="42"/>
    </row>
    <row r="60" spans="1:18" ht="24.9" customHeight="1" x14ac:dyDescent="0.3">
      <c r="H60" s="36"/>
      <c r="I60" s="36"/>
      <c r="M60" s="44"/>
      <c r="N60" s="53"/>
    </row>
    <row r="61" spans="1:18" ht="24.9" customHeight="1" x14ac:dyDescent="0.3">
      <c r="H61" s="36"/>
      <c r="I61" s="36"/>
    </row>
  </sheetData>
  <mergeCells count="24">
    <mergeCell ref="M54:N54"/>
    <mergeCell ref="U14:V14"/>
    <mergeCell ref="H36:I36"/>
    <mergeCell ref="M36:N36"/>
    <mergeCell ref="Q36:R36"/>
    <mergeCell ref="M26:N26"/>
    <mergeCell ref="H26:I26"/>
    <mergeCell ref="Q26:R26"/>
    <mergeCell ref="Q44:R44"/>
    <mergeCell ref="M44:N44"/>
    <mergeCell ref="H44:I44"/>
    <mergeCell ref="A1:E1"/>
    <mergeCell ref="Q1:R1"/>
    <mergeCell ref="A6:B6"/>
    <mergeCell ref="A4:F4"/>
    <mergeCell ref="A2:F2"/>
    <mergeCell ref="A3:F3"/>
    <mergeCell ref="A5:B5"/>
    <mergeCell ref="M1:N1"/>
    <mergeCell ref="H1:I1"/>
    <mergeCell ref="H14:I14"/>
    <mergeCell ref="M14:N14"/>
    <mergeCell ref="W11:X11"/>
    <mergeCell ref="Q14:R14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0"/>
  <sheetViews>
    <sheetView zoomScale="79" workbookViewId="0">
      <selection activeCell="P28" sqref="P28"/>
    </sheetView>
  </sheetViews>
  <sheetFormatPr defaultColWidth="10.8984375" defaultRowHeight="17.399999999999999" x14ac:dyDescent="0.35"/>
  <cols>
    <col min="1" max="1" width="8.3984375" style="21" customWidth="1"/>
    <col min="2" max="2" width="3.3984375" style="21" bestFit="1" customWidth="1"/>
    <col min="3" max="3" width="19" style="21" customWidth="1"/>
    <col min="4" max="4" width="5.09765625" style="21" customWidth="1"/>
    <col min="5" max="5" width="14.19921875" style="67" customWidth="1"/>
    <col min="6" max="6" width="4.8984375" style="21" customWidth="1"/>
    <col min="7" max="7" width="8.3984375" style="21" customWidth="1"/>
    <col min="8" max="8" width="3.3984375" style="21" bestFit="1" customWidth="1"/>
    <col min="9" max="9" width="17" style="21" customWidth="1"/>
    <col min="10" max="10" width="5.09765625" style="21" customWidth="1"/>
    <col min="11" max="11" width="13.796875" style="67" bestFit="1" customWidth="1"/>
    <col min="12" max="12" width="5" style="21" customWidth="1"/>
    <col min="13" max="17" width="10.8984375" style="5"/>
    <col min="18" max="18" width="9.8984375" style="5" customWidth="1"/>
    <col min="19" max="16384" width="10.8984375" style="5"/>
  </cols>
  <sheetData>
    <row r="1" spans="1:17" s="7" customFormat="1" ht="18" x14ac:dyDescent="0.35">
      <c r="A1" s="80" t="s">
        <v>16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7" s="7" customFormat="1" ht="18" x14ac:dyDescent="0.35">
      <c r="A2" s="80"/>
      <c r="B2" s="80"/>
      <c r="C2" s="80"/>
      <c r="D2" s="80"/>
      <c r="E2" s="80"/>
      <c r="F2" s="80"/>
      <c r="G2" s="80"/>
      <c r="H2" s="80"/>
      <c r="I2" s="80"/>
      <c r="J2" s="99"/>
      <c r="K2" s="91"/>
      <c r="L2" s="92"/>
      <c r="P2" s="20" t="s">
        <v>18</v>
      </c>
      <c r="Q2" s="22"/>
    </row>
    <row r="3" spans="1:17" ht="18.600000000000001" thickBot="1" x14ac:dyDescent="0.4">
      <c r="A3" s="100" t="s">
        <v>29</v>
      </c>
      <c r="B3" s="100"/>
      <c r="C3" s="100"/>
      <c r="D3" s="100"/>
      <c r="E3" s="100"/>
      <c r="F3" s="100"/>
      <c r="G3" s="100"/>
      <c r="H3" s="100"/>
      <c r="I3" s="84" t="s">
        <v>17</v>
      </c>
      <c r="J3" s="84"/>
      <c r="K3" s="101">
        <v>100</v>
      </c>
      <c r="L3" s="101"/>
      <c r="P3" s="21" t="s">
        <v>14</v>
      </c>
      <c r="Q3" s="22"/>
    </row>
    <row r="4" spans="1:17" s="6" customFormat="1" ht="18" x14ac:dyDescent="0.35">
      <c r="A4" s="49" t="s">
        <v>9</v>
      </c>
      <c r="B4" s="50"/>
      <c r="C4" s="50" t="s">
        <v>10</v>
      </c>
      <c r="D4" s="50" t="s">
        <v>19</v>
      </c>
      <c r="E4" s="95" t="s">
        <v>20</v>
      </c>
      <c r="F4" s="96"/>
      <c r="G4" s="50" t="s">
        <v>9</v>
      </c>
      <c r="H4" s="50"/>
      <c r="I4" s="50" t="s">
        <v>10</v>
      </c>
      <c r="J4" s="50" t="s">
        <v>19</v>
      </c>
      <c r="K4" s="95" t="s">
        <v>21</v>
      </c>
      <c r="L4" s="97"/>
      <c r="P4" s="21" t="s">
        <v>1</v>
      </c>
      <c r="Q4" s="22"/>
    </row>
    <row r="5" spans="1:17" s="6" customFormat="1" ht="18" x14ac:dyDescent="0.35">
      <c r="A5" s="48" t="s">
        <v>34</v>
      </c>
      <c r="B5" s="51">
        <v>2</v>
      </c>
      <c r="C5" s="51"/>
      <c r="D5" s="51">
        <v>10</v>
      </c>
      <c r="E5" s="131">
        <v>300</v>
      </c>
      <c r="F5" s="52"/>
      <c r="G5" s="51"/>
      <c r="H5" s="51"/>
      <c r="I5" s="51"/>
      <c r="J5" s="51"/>
      <c r="K5" s="53"/>
      <c r="L5" s="54"/>
      <c r="P5" s="21" t="s">
        <v>15</v>
      </c>
      <c r="Q5" s="22"/>
    </row>
    <row r="6" spans="1:17" ht="18" x14ac:dyDescent="0.35">
      <c r="A6" s="55"/>
      <c r="B6" s="51"/>
      <c r="C6" s="51"/>
      <c r="D6" s="51"/>
      <c r="E6" s="56"/>
      <c r="F6" s="51"/>
      <c r="G6" s="51"/>
      <c r="H6" s="51"/>
      <c r="I6" s="51"/>
      <c r="J6" s="51"/>
      <c r="K6" s="57"/>
      <c r="L6" s="54"/>
      <c r="P6" s="21" t="s">
        <v>22</v>
      </c>
      <c r="Q6" s="22"/>
    </row>
    <row r="7" spans="1:17" ht="18" x14ac:dyDescent="0.35">
      <c r="A7" s="55"/>
      <c r="B7" s="51"/>
      <c r="C7" s="51"/>
      <c r="D7" s="51"/>
      <c r="E7" s="56"/>
      <c r="F7" s="51"/>
      <c r="G7" s="51"/>
      <c r="H7" s="51"/>
      <c r="I7" s="51"/>
      <c r="J7" s="51"/>
      <c r="K7" s="53"/>
      <c r="L7" s="54"/>
      <c r="P7" s="21" t="s">
        <v>8</v>
      </c>
      <c r="Q7" s="22"/>
    </row>
    <row r="8" spans="1:17" x14ac:dyDescent="0.35">
      <c r="A8" s="55"/>
      <c r="B8" s="51"/>
      <c r="C8" s="51"/>
      <c r="D8" s="51"/>
      <c r="E8" s="56"/>
      <c r="F8" s="51"/>
      <c r="G8" s="51"/>
      <c r="H8" s="51"/>
      <c r="I8" s="51"/>
      <c r="J8" s="51"/>
      <c r="K8" s="56"/>
      <c r="L8" s="58"/>
    </row>
    <row r="9" spans="1:17" x14ac:dyDescent="0.35">
      <c r="A9" s="55"/>
      <c r="B9" s="51"/>
      <c r="C9" s="51"/>
      <c r="D9" s="51"/>
      <c r="E9" s="56"/>
      <c r="F9" s="51"/>
      <c r="G9" s="51"/>
      <c r="H9" s="51"/>
      <c r="I9" s="51"/>
      <c r="J9" s="51"/>
      <c r="K9" s="56"/>
      <c r="L9" s="58"/>
    </row>
    <row r="10" spans="1:17" x14ac:dyDescent="0.35">
      <c r="A10" s="55"/>
      <c r="B10" s="51"/>
      <c r="C10" s="51"/>
      <c r="D10" s="51"/>
      <c r="E10" s="56"/>
      <c r="F10" s="51"/>
      <c r="G10" s="51"/>
      <c r="H10" s="51"/>
      <c r="I10" s="51"/>
      <c r="J10" s="51"/>
      <c r="K10" s="56"/>
      <c r="L10" s="58"/>
    </row>
    <row r="11" spans="1:17" x14ac:dyDescent="0.35">
      <c r="A11" s="55"/>
      <c r="B11" s="51"/>
      <c r="C11" s="51"/>
      <c r="D11" s="51"/>
      <c r="E11" s="56"/>
      <c r="F11" s="51"/>
      <c r="G11" s="51"/>
      <c r="H11" s="51"/>
      <c r="I11" s="51"/>
      <c r="J11" s="51"/>
      <c r="K11" s="56"/>
      <c r="L11" s="58"/>
    </row>
    <row r="12" spans="1:17" ht="18" thickBot="1" x14ac:dyDescent="0.4">
      <c r="A12" s="59"/>
      <c r="B12" s="60"/>
      <c r="C12" s="60"/>
      <c r="D12" s="60"/>
      <c r="E12" s="61"/>
      <c r="F12" s="60"/>
      <c r="G12" s="60"/>
      <c r="H12" s="60"/>
      <c r="I12" s="60"/>
      <c r="J12" s="60"/>
      <c r="K12" s="61"/>
      <c r="L12" s="62"/>
    </row>
    <row r="13" spans="1:17" x14ac:dyDescent="0.35">
      <c r="A13" s="95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6"/>
    </row>
    <row r="14" spans="1:17" ht="18.600000000000001" thickBot="1" x14ac:dyDescent="0.4">
      <c r="A14" s="89" t="s">
        <v>27</v>
      </c>
      <c r="B14" s="89"/>
      <c r="C14" s="89"/>
      <c r="D14" s="89"/>
      <c r="E14" s="89"/>
      <c r="F14" s="89"/>
      <c r="G14" s="89"/>
      <c r="H14" s="89"/>
      <c r="I14" s="89" t="s">
        <v>17</v>
      </c>
      <c r="J14" s="90"/>
      <c r="K14" s="91">
        <v>101</v>
      </c>
      <c r="L14" s="92"/>
    </row>
    <row r="15" spans="1:17" ht="18" thickBot="1" x14ac:dyDescent="0.4">
      <c r="A15" s="63" t="s">
        <v>9</v>
      </c>
      <c r="B15" s="64"/>
      <c r="C15" s="64" t="s">
        <v>10</v>
      </c>
      <c r="D15" s="64" t="s">
        <v>19</v>
      </c>
      <c r="E15" s="86" t="s">
        <v>20</v>
      </c>
      <c r="F15" s="87"/>
      <c r="G15" s="50" t="s">
        <v>9</v>
      </c>
      <c r="H15" s="50"/>
      <c r="I15" s="50" t="s">
        <v>10</v>
      </c>
      <c r="J15" s="64" t="s">
        <v>19</v>
      </c>
      <c r="K15" s="93" t="s">
        <v>21</v>
      </c>
      <c r="L15" s="94"/>
    </row>
    <row r="16" spans="1:17" x14ac:dyDescent="0.35">
      <c r="A16" s="55" t="s">
        <v>34</v>
      </c>
      <c r="B16" s="13">
        <v>1</v>
      </c>
      <c r="C16" s="51"/>
      <c r="D16" s="51">
        <v>10</v>
      </c>
      <c r="E16" s="131">
        <v>200000</v>
      </c>
      <c r="F16" s="51"/>
      <c r="G16" s="51" t="s">
        <v>34</v>
      </c>
      <c r="H16" s="130">
        <v>2</v>
      </c>
      <c r="I16" s="51"/>
      <c r="J16" s="51">
        <v>10</v>
      </c>
      <c r="K16" s="131">
        <v>300</v>
      </c>
      <c r="L16" s="58"/>
    </row>
    <row r="17" spans="1:12" x14ac:dyDescent="0.35">
      <c r="A17" s="55" t="s">
        <v>34</v>
      </c>
      <c r="B17" s="13">
        <v>25</v>
      </c>
      <c r="C17" s="51"/>
      <c r="D17" s="51">
        <v>10</v>
      </c>
      <c r="E17" s="131">
        <v>3500</v>
      </c>
      <c r="F17" s="51"/>
      <c r="G17" s="51" t="s">
        <v>34</v>
      </c>
      <c r="H17" s="130">
        <v>3</v>
      </c>
      <c r="I17" s="51"/>
      <c r="J17" s="51">
        <v>10</v>
      </c>
      <c r="K17" s="131">
        <v>13375</v>
      </c>
      <c r="L17" s="58"/>
    </row>
    <row r="18" spans="1:12" x14ac:dyDescent="0.35">
      <c r="A18" s="55"/>
      <c r="B18" s="51"/>
      <c r="C18" s="51"/>
      <c r="D18" s="51"/>
      <c r="E18" s="56"/>
      <c r="F18" s="51"/>
      <c r="G18" s="51" t="s">
        <v>34</v>
      </c>
      <c r="H18" s="130">
        <v>4</v>
      </c>
      <c r="I18" s="51"/>
      <c r="J18" s="51">
        <v>10</v>
      </c>
      <c r="K18" s="132">
        <v>850</v>
      </c>
      <c r="L18" s="58"/>
    </row>
    <row r="19" spans="1:12" x14ac:dyDescent="0.35">
      <c r="A19" s="55"/>
      <c r="B19" s="51"/>
      <c r="C19" s="51"/>
      <c r="D19" s="51"/>
      <c r="E19" s="56"/>
      <c r="F19" s="51"/>
      <c r="G19" s="51" t="s">
        <v>34</v>
      </c>
      <c r="H19" s="130">
        <v>8</v>
      </c>
      <c r="I19" s="51"/>
      <c r="J19" s="51">
        <v>10</v>
      </c>
      <c r="K19" s="131">
        <v>1200</v>
      </c>
      <c r="L19" s="58"/>
    </row>
    <row r="20" spans="1:12" x14ac:dyDescent="0.35">
      <c r="A20" s="55"/>
      <c r="B20" s="51"/>
      <c r="C20" s="51"/>
      <c r="D20" s="51"/>
      <c r="E20" s="56"/>
      <c r="F20" s="51"/>
      <c r="G20" s="51" t="s">
        <v>34</v>
      </c>
      <c r="H20" s="130">
        <v>15</v>
      </c>
      <c r="I20" s="51"/>
      <c r="J20" s="51">
        <v>10</v>
      </c>
      <c r="K20" s="131">
        <v>6500</v>
      </c>
      <c r="L20" s="58"/>
    </row>
    <row r="21" spans="1:12" x14ac:dyDescent="0.35">
      <c r="A21" s="55"/>
      <c r="B21" s="51"/>
      <c r="C21" s="51"/>
      <c r="D21" s="51"/>
      <c r="E21" s="56"/>
      <c r="F21" s="51"/>
      <c r="G21" s="51" t="s">
        <v>34</v>
      </c>
      <c r="H21" s="130">
        <v>18</v>
      </c>
      <c r="I21" s="51"/>
      <c r="J21" s="51">
        <v>10</v>
      </c>
      <c r="K21" s="131">
        <v>1926</v>
      </c>
      <c r="L21" s="58"/>
    </row>
    <row r="22" spans="1:12" x14ac:dyDescent="0.35">
      <c r="A22" s="121"/>
      <c r="B22" s="122"/>
      <c r="C22" s="122"/>
      <c r="D22" s="122"/>
      <c r="E22" s="123"/>
      <c r="F22" s="122"/>
      <c r="G22" s="51" t="s">
        <v>34</v>
      </c>
      <c r="H22" s="136">
        <v>20</v>
      </c>
      <c r="I22" s="51"/>
      <c r="J22" s="51">
        <v>10</v>
      </c>
      <c r="K22" s="133">
        <v>3103</v>
      </c>
      <c r="L22" s="124"/>
    </row>
    <row r="23" spans="1:12" x14ac:dyDescent="0.35">
      <c r="A23" s="121"/>
      <c r="B23" s="122"/>
      <c r="C23" s="122"/>
      <c r="D23" s="122"/>
      <c r="E23" s="123"/>
      <c r="F23" s="122"/>
      <c r="G23" s="51" t="s">
        <v>34</v>
      </c>
      <c r="H23" s="130">
        <v>27</v>
      </c>
      <c r="I23" s="51"/>
      <c r="J23" s="51">
        <v>10</v>
      </c>
      <c r="K23" s="131">
        <v>670</v>
      </c>
      <c r="L23" s="124"/>
    </row>
    <row r="24" spans="1:12" ht="18" thickBot="1" x14ac:dyDescent="0.4">
      <c r="A24" s="59"/>
      <c r="B24" s="60"/>
      <c r="C24" s="60"/>
      <c r="D24" s="60"/>
      <c r="E24" s="61"/>
      <c r="F24" s="60"/>
      <c r="G24" s="60" t="s">
        <v>34</v>
      </c>
      <c r="H24" s="137">
        <v>30</v>
      </c>
      <c r="I24" s="60"/>
      <c r="J24" s="60">
        <v>10</v>
      </c>
      <c r="K24" s="138">
        <v>1500</v>
      </c>
      <c r="L24" s="62"/>
    </row>
    <row r="26" spans="1:12" ht="18.600000000000001" thickBot="1" x14ac:dyDescent="0.4">
      <c r="A26" s="84" t="s">
        <v>48</v>
      </c>
      <c r="B26" s="84"/>
      <c r="C26" s="84"/>
      <c r="D26" s="84"/>
      <c r="E26" s="84"/>
      <c r="F26" s="84"/>
      <c r="G26" s="84"/>
      <c r="H26" s="84"/>
      <c r="I26" s="84" t="s">
        <v>17</v>
      </c>
      <c r="J26" s="84"/>
      <c r="K26" s="85">
        <v>102</v>
      </c>
      <c r="L26" s="85"/>
    </row>
    <row r="27" spans="1:12" ht="18" thickBot="1" x14ac:dyDescent="0.4">
      <c r="A27" s="63" t="s">
        <v>9</v>
      </c>
      <c r="B27" s="64"/>
      <c r="C27" s="64" t="s">
        <v>10</v>
      </c>
      <c r="D27" s="64" t="s">
        <v>19</v>
      </c>
      <c r="E27" s="86" t="s">
        <v>20</v>
      </c>
      <c r="F27" s="87"/>
      <c r="G27" s="64" t="s">
        <v>9</v>
      </c>
      <c r="H27" s="64"/>
      <c r="I27" s="64" t="s">
        <v>10</v>
      </c>
      <c r="J27" s="64" t="s">
        <v>19</v>
      </c>
      <c r="K27" s="86" t="s">
        <v>21</v>
      </c>
      <c r="L27" s="88"/>
    </row>
    <row r="28" spans="1:12" x14ac:dyDescent="0.35">
      <c r="A28" s="55" t="s">
        <v>34</v>
      </c>
      <c r="B28" s="126">
        <v>10</v>
      </c>
      <c r="C28" s="51"/>
      <c r="D28" s="51">
        <v>10</v>
      </c>
      <c r="E28" s="131">
        <v>3745</v>
      </c>
      <c r="F28" s="51"/>
      <c r="G28" s="55" t="s">
        <v>34</v>
      </c>
      <c r="H28" s="51">
        <v>25</v>
      </c>
      <c r="I28" s="51"/>
      <c r="J28" s="21">
        <v>10</v>
      </c>
      <c r="K28" s="131">
        <v>3745</v>
      </c>
      <c r="L28" s="58"/>
    </row>
    <row r="29" spans="1:12" x14ac:dyDescent="0.35">
      <c r="A29" s="55"/>
      <c r="B29" s="51"/>
      <c r="C29" s="51"/>
      <c r="D29" s="51"/>
      <c r="E29" s="56"/>
      <c r="F29" s="51"/>
      <c r="G29" s="51"/>
      <c r="H29" s="51"/>
      <c r="I29" s="51"/>
      <c r="J29" s="51"/>
      <c r="K29" s="56"/>
      <c r="L29" s="58"/>
    </row>
    <row r="30" spans="1:12" x14ac:dyDescent="0.35">
      <c r="A30" s="55"/>
      <c r="B30" s="51"/>
      <c r="C30" s="51"/>
      <c r="D30" s="51"/>
      <c r="E30" s="56"/>
      <c r="F30" s="51"/>
      <c r="G30" s="51"/>
      <c r="H30" s="51"/>
      <c r="I30" s="51"/>
      <c r="J30" s="51"/>
      <c r="K30" s="56"/>
      <c r="L30" s="58"/>
    </row>
    <row r="31" spans="1:12" x14ac:dyDescent="0.35">
      <c r="A31" s="55"/>
      <c r="B31" s="51"/>
      <c r="C31" s="51"/>
      <c r="D31" s="51"/>
      <c r="E31" s="56"/>
      <c r="F31" s="51"/>
      <c r="G31" s="51"/>
      <c r="H31" s="51"/>
      <c r="I31" s="51"/>
      <c r="J31" s="51"/>
      <c r="K31" s="56"/>
      <c r="L31" s="58"/>
    </row>
    <row r="32" spans="1:12" x14ac:dyDescent="0.35">
      <c r="A32" s="55"/>
      <c r="B32" s="51"/>
      <c r="C32" s="51"/>
      <c r="D32" s="51"/>
      <c r="E32" s="56"/>
      <c r="F32" s="51"/>
      <c r="G32" s="51"/>
      <c r="H32" s="51"/>
      <c r="I32" s="51"/>
      <c r="J32" s="51"/>
      <c r="K32" s="56"/>
      <c r="L32" s="58"/>
    </row>
    <row r="33" spans="1:12" x14ac:dyDescent="0.35">
      <c r="A33" s="55"/>
      <c r="B33" s="51"/>
      <c r="C33" s="51"/>
      <c r="D33" s="51"/>
      <c r="E33" s="56"/>
      <c r="F33" s="51"/>
      <c r="G33" s="51"/>
      <c r="H33" s="51"/>
      <c r="I33" s="51"/>
      <c r="J33" s="51"/>
      <c r="K33" s="56"/>
      <c r="L33" s="58"/>
    </row>
    <row r="34" spans="1:12" ht="18" thickBot="1" x14ac:dyDescent="0.4">
      <c r="A34" s="59"/>
      <c r="B34" s="60"/>
      <c r="C34" s="60"/>
      <c r="D34" s="60"/>
      <c r="E34" s="61"/>
      <c r="F34" s="60"/>
      <c r="G34" s="60"/>
      <c r="H34" s="60"/>
      <c r="I34" s="60"/>
      <c r="J34" s="60"/>
      <c r="K34" s="61"/>
      <c r="L34" s="62"/>
    </row>
    <row r="36" spans="1:12" ht="18.600000000000001" thickBot="1" x14ac:dyDescent="0.4">
      <c r="A36" s="84" t="s">
        <v>53</v>
      </c>
      <c r="B36" s="84"/>
      <c r="C36" s="84"/>
      <c r="D36" s="84"/>
      <c r="E36" s="84"/>
      <c r="F36" s="84"/>
      <c r="G36" s="84"/>
      <c r="H36" s="84"/>
      <c r="I36" s="84" t="s">
        <v>17</v>
      </c>
      <c r="J36" s="84"/>
      <c r="K36" s="85">
        <v>103</v>
      </c>
      <c r="L36" s="85"/>
    </row>
    <row r="37" spans="1:12" ht="18" thickBot="1" x14ac:dyDescent="0.4">
      <c r="A37" s="63" t="s">
        <v>9</v>
      </c>
      <c r="B37" s="64"/>
      <c r="C37" s="64" t="s">
        <v>10</v>
      </c>
      <c r="D37" s="64" t="s">
        <v>19</v>
      </c>
      <c r="E37" s="86" t="s">
        <v>20</v>
      </c>
      <c r="F37" s="87"/>
      <c r="G37" s="64" t="s">
        <v>9</v>
      </c>
      <c r="H37" s="64"/>
      <c r="I37" s="64" t="s">
        <v>10</v>
      </c>
      <c r="J37" s="64" t="s">
        <v>19</v>
      </c>
      <c r="K37" s="86" t="s">
        <v>21</v>
      </c>
      <c r="L37" s="88"/>
    </row>
    <row r="38" spans="1:12" x14ac:dyDescent="0.35">
      <c r="A38" s="55" t="s">
        <v>34</v>
      </c>
      <c r="B38" s="51">
        <v>20</v>
      </c>
      <c r="C38" s="51"/>
      <c r="D38" s="51">
        <v>10</v>
      </c>
      <c r="E38" s="131">
        <v>2900</v>
      </c>
      <c r="F38" s="51"/>
      <c r="G38" s="51"/>
      <c r="H38" s="51"/>
      <c r="I38" s="51"/>
      <c r="J38" s="51"/>
      <c r="K38" s="56"/>
      <c r="L38" s="58"/>
    </row>
    <row r="39" spans="1:12" x14ac:dyDescent="0.35">
      <c r="A39" s="55"/>
      <c r="B39" s="51"/>
      <c r="C39" s="51"/>
      <c r="D39" s="51"/>
      <c r="E39" s="56"/>
      <c r="F39" s="51"/>
      <c r="G39" s="51"/>
      <c r="H39" s="51"/>
      <c r="I39" s="51"/>
      <c r="J39" s="51"/>
      <c r="K39" s="56"/>
      <c r="L39" s="58"/>
    </row>
    <row r="40" spans="1:12" x14ac:dyDescent="0.35">
      <c r="A40" s="55"/>
      <c r="B40" s="51"/>
      <c r="C40" s="51"/>
      <c r="D40" s="51"/>
      <c r="E40" s="56"/>
      <c r="F40" s="51"/>
      <c r="G40" s="51"/>
      <c r="H40" s="51"/>
      <c r="I40" s="51"/>
      <c r="J40" s="51"/>
      <c r="K40" s="56"/>
      <c r="L40" s="58"/>
    </row>
    <row r="41" spans="1:12" x14ac:dyDescent="0.35">
      <c r="A41" s="55"/>
      <c r="B41" s="51"/>
      <c r="C41" s="51"/>
      <c r="D41" s="51"/>
      <c r="E41" s="56"/>
      <c r="F41" s="51"/>
      <c r="G41" s="51"/>
      <c r="H41" s="51"/>
      <c r="I41" s="51"/>
      <c r="J41" s="51"/>
      <c r="K41" s="56"/>
      <c r="L41" s="58"/>
    </row>
    <row r="42" spans="1:12" x14ac:dyDescent="0.35">
      <c r="A42" s="55"/>
      <c r="B42" s="51"/>
      <c r="C42" s="51"/>
      <c r="D42" s="51"/>
      <c r="E42" s="56"/>
      <c r="F42" s="51"/>
      <c r="G42" s="51"/>
      <c r="H42" s="51"/>
      <c r="I42" s="51"/>
      <c r="J42" s="51"/>
      <c r="K42" s="56"/>
      <c r="L42" s="58"/>
    </row>
    <row r="43" spans="1:12" x14ac:dyDescent="0.35">
      <c r="A43" s="55"/>
      <c r="B43" s="51"/>
      <c r="C43" s="51"/>
      <c r="D43" s="51"/>
      <c r="E43" s="56"/>
      <c r="F43" s="51"/>
      <c r="G43" s="51"/>
      <c r="H43" s="51"/>
      <c r="I43" s="51"/>
      <c r="J43" s="51"/>
      <c r="K43" s="56"/>
      <c r="L43" s="58"/>
    </row>
    <row r="44" spans="1:12" x14ac:dyDescent="0.35">
      <c r="A44" s="55"/>
      <c r="B44" s="51"/>
      <c r="C44" s="51"/>
      <c r="D44" s="51"/>
      <c r="E44" s="56"/>
      <c r="F44" s="51"/>
      <c r="G44" s="51"/>
      <c r="H44" s="51"/>
      <c r="I44" s="51"/>
      <c r="J44" s="51"/>
      <c r="K44" s="56"/>
      <c r="L44" s="58"/>
    </row>
    <row r="45" spans="1:12" x14ac:dyDescent="0.35">
      <c r="A45" s="55"/>
      <c r="B45" s="51"/>
      <c r="C45" s="51"/>
      <c r="D45" s="51"/>
      <c r="E45" s="56"/>
      <c r="F45" s="51"/>
      <c r="G45" s="51"/>
      <c r="H45" s="51"/>
      <c r="I45" s="51"/>
      <c r="J45" s="51"/>
      <c r="K45" s="56"/>
      <c r="L45" s="58"/>
    </row>
    <row r="46" spans="1:12" ht="18" thickBot="1" x14ac:dyDescent="0.4">
      <c r="A46" s="59"/>
      <c r="B46" s="60"/>
      <c r="C46" s="60"/>
      <c r="D46" s="60"/>
      <c r="E46" s="61"/>
      <c r="F46" s="60"/>
      <c r="G46" s="60"/>
      <c r="H46" s="60"/>
      <c r="I46" s="60"/>
      <c r="J46" s="60"/>
      <c r="K46" s="61"/>
      <c r="L46" s="62"/>
    </row>
    <row r="48" spans="1:12" ht="18.600000000000001" thickBot="1" x14ac:dyDescent="0.4">
      <c r="A48" s="84" t="s">
        <v>47</v>
      </c>
      <c r="B48" s="84"/>
      <c r="C48" s="84"/>
      <c r="D48" s="84"/>
      <c r="E48" s="84"/>
      <c r="F48" s="84"/>
      <c r="G48" s="84"/>
      <c r="H48" s="84"/>
      <c r="I48" s="84" t="s">
        <v>17</v>
      </c>
      <c r="J48" s="84"/>
      <c r="K48" s="85">
        <v>200</v>
      </c>
      <c r="L48" s="85"/>
    </row>
    <row r="49" spans="1:12" ht="18" thickBot="1" x14ac:dyDescent="0.4">
      <c r="A49" s="63" t="s">
        <v>9</v>
      </c>
      <c r="B49" s="64"/>
      <c r="C49" s="64" t="s">
        <v>10</v>
      </c>
      <c r="D49" s="64" t="s">
        <v>19</v>
      </c>
      <c r="E49" s="86" t="s">
        <v>20</v>
      </c>
      <c r="F49" s="87"/>
      <c r="G49" s="64" t="s">
        <v>9</v>
      </c>
      <c r="H49" s="64"/>
      <c r="I49" s="64" t="s">
        <v>10</v>
      </c>
      <c r="J49" s="64" t="s">
        <v>19</v>
      </c>
      <c r="K49" s="86" t="s">
        <v>21</v>
      </c>
      <c r="L49" s="88"/>
    </row>
    <row r="50" spans="1:12" x14ac:dyDescent="0.35">
      <c r="A50" s="55" t="s">
        <v>34</v>
      </c>
      <c r="B50" s="51">
        <v>25</v>
      </c>
      <c r="C50" s="51"/>
      <c r="D50" s="51">
        <v>10</v>
      </c>
      <c r="E50" s="131">
        <v>245</v>
      </c>
      <c r="F50" s="51"/>
      <c r="G50" s="55" t="s">
        <v>34</v>
      </c>
      <c r="H50" s="51">
        <v>10</v>
      </c>
      <c r="I50" s="51"/>
      <c r="J50" s="51">
        <v>10</v>
      </c>
      <c r="K50" s="131">
        <v>245</v>
      </c>
      <c r="L50" s="58"/>
    </row>
    <row r="51" spans="1:12" x14ac:dyDescent="0.35">
      <c r="A51" s="55"/>
      <c r="B51" s="51"/>
      <c r="C51" s="51"/>
      <c r="D51" s="51"/>
      <c r="E51" s="56"/>
      <c r="F51" s="51"/>
      <c r="G51" s="51"/>
      <c r="H51" s="51"/>
      <c r="I51" s="51"/>
      <c r="J51" s="51"/>
      <c r="K51" s="56"/>
      <c r="L51" s="58"/>
    </row>
    <row r="52" spans="1:12" x14ac:dyDescent="0.35">
      <c r="A52" s="55"/>
      <c r="B52" s="51"/>
      <c r="C52" s="51"/>
      <c r="D52" s="51"/>
      <c r="E52" s="56"/>
      <c r="F52" s="51"/>
      <c r="G52" s="51"/>
      <c r="H52" s="51"/>
      <c r="I52" s="51"/>
      <c r="J52" s="51"/>
      <c r="K52" s="56"/>
      <c r="L52" s="58"/>
    </row>
    <row r="53" spans="1:12" x14ac:dyDescent="0.35">
      <c r="A53" s="55"/>
      <c r="B53" s="51"/>
      <c r="C53" s="51"/>
      <c r="D53" s="51"/>
      <c r="E53" s="56"/>
      <c r="F53" s="51"/>
      <c r="G53" s="51"/>
      <c r="H53" s="51"/>
      <c r="I53" s="51"/>
      <c r="J53" s="51"/>
      <c r="K53" s="56"/>
      <c r="L53" s="58"/>
    </row>
    <row r="54" spans="1:12" x14ac:dyDescent="0.35">
      <c r="A54" s="55"/>
      <c r="B54" s="51"/>
      <c r="C54" s="51"/>
      <c r="D54" s="51"/>
      <c r="E54" s="56"/>
      <c r="F54" s="51"/>
      <c r="G54" s="51"/>
      <c r="H54" s="51"/>
      <c r="I54" s="51"/>
      <c r="J54" s="51"/>
      <c r="K54" s="56"/>
      <c r="L54" s="58"/>
    </row>
    <row r="55" spans="1:12" x14ac:dyDescent="0.35">
      <c r="A55" s="55"/>
      <c r="B55" s="51"/>
      <c r="C55" s="51"/>
      <c r="D55" s="51"/>
      <c r="E55" s="56"/>
      <c r="F55" s="51"/>
      <c r="G55" s="51"/>
      <c r="H55" s="51"/>
      <c r="I55" s="51"/>
      <c r="J55" s="51"/>
      <c r="K55" s="56"/>
      <c r="L55" s="58"/>
    </row>
    <row r="56" spans="1:12" x14ac:dyDescent="0.35">
      <c r="A56" s="55"/>
      <c r="B56" s="51"/>
      <c r="C56" s="51"/>
      <c r="D56" s="51"/>
      <c r="E56" s="56"/>
      <c r="F56" s="51"/>
      <c r="G56" s="51"/>
      <c r="H56" s="51"/>
      <c r="I56" s="51"/>
      <c r="J56" s="51"/>
      <c r="K56" s="56"/>
      <c r="L56" s="58"/>
    </row>
    <row r="57" spans="1:12" x14ac:dyDescent="0.35">
      <c r="A57" s="55"/>
      <c r="B57" s="51"/>
      <c r="C57" s="51"/>
      <c r="D57" s="51"/>
      <c r="E57" s="56"/>
      <c r="F57" s="51"/>
      <c r="G57" s="51"/>
      <c r="H57" s="51"/>
      <c r="I57" s="51"/>
      <c r="J57" s="51"/>
      <c r="K57" s="56"/>
      <c r="L57" s="58"/>
    </row>
    <row r="58" spans="1:12" ht="18" thickBot="1" x14ac:dyDescent="0.4">
      <c r="A58" s="59"/>
      <c r="B58" s="60"/>
      <c r="C58" s="60"/>
      <c r="D58" s="60"/>
      <c r="E58" s="61"/>
      <c r="F58" s="60"/>
      <c r="G58" s="60"/>
      <c r="H58" s="60"/>
      <c r="I58" s="60"/>
      <c r="J58" s="60"/>
      <c r="K58" s="61"/>
      <c r="L58" s="62"/>
    </row>
    <row r="60" spans="1:12" ht="18.600000000000001" thickBot="1" x14ac:dyDescent="0.4">
      <c r="A60" s="84" t="s">
        <v>28</v>
      </c>
      <c r="B60" s="84"/>
      <c r="C60" s="84"/>
      <c r="D60" s="84"/>
      <c r="E60" s="84"/>
      <c r="F60" s="84"/>
      <c r="G60" s="84"/>
      <c r="H60" s="84"/>
      <c r="I60" s="84" t="s">
        <v>17</v>
      </c>
      <c r="J60" s="84"/>
      <c r="K60" s="85">
        <v>300</v>
      </c>
      <c r="L60" s="85"/>
    </row>
    <row r="61" spans="1:12" ht="18" thickBot="1" x14ac:dyDescent="0.4">
      <c r="A61" s="63" t="s">
        <v>9</v>
      </c>
      <c r="B61" s="64"/>
      <c r="C61" s="64" t="s">
        <v>10</v>
      </c>
      <c r="D61" s="64" t="s">
        <v>19</v>
      </c>
      <c r="E61" s="86" t="s">
        <v>20</v>
      </c>
      <c r="F61" s="87"/>
      <c r="G61" s="64" t="s">
        <v>9</v>
      </c>
      <c r="H61" s="64"/>
      <c r="I61" s="64" t="s">
        <v>10</v>
      </c>
      <c r="J61" s="64" t="s">
        <v>19</v>
      </c>
      <c r="K61" s="86" t="s">
        <v>21</v>
      </c>
      <c r="L61" s="88"/>
    </row>
    <row r="62" spans="1:12" x14ac:dyDescent="0.35">
      <c r="A62" s="55"/>
      <c r="B62" s="51"/>
      <c r="C62" s="51"/>
      <c r="D62" s="51"/>
      <c r="E62" s="56"/>
      <c r="F62" s="51"/>
      <c r="G62" s="55" t="s">
        <v>34</v>
      </c>
      <c r="H62" s="51">
        <v>1</v>
      </c>
      <c r="I62" s="51"/>
      <c r="J62" s="51">
        <v>10</v>
      </c>
      <c r="K62" s="131">
        <v>200000</v>
      </c>
      <c r="L62" s="58"/>
    </row>
    <row r="63" spans="1:12" x14ac:dyDescent="0.35">
      <c r="A63" s="55"/>
      <c r="B63" s="51"/>
      <c r="C63" s="51"/>
      <c r="D63" s="51"/>
      <c r="E63" s="56"/>
      <c r="F63" s="51"/>
      <c r="G63" s="51"/>
      <c r="H63" s="51"/>
      <c r="I63" s="51"/>
      <c r="J63" s="51"/>
      <c r="K63" s="65"/>
      <c r="L63" s="58"/>
    </row>
    <row r="64" spans="1:12" x14ac:dyDescent="0.35">
      <c r="A64" s="55"/>
      <c r="B64" s="51"/>
      <c r="C64" s="51"/>
      <c r="D64" s="51"/>
      <c r="E64" s="66"/>
      <c r="F64" s="51"/>
      <c r="G64" s="51"/>
      <c r="H64" s="51"/>
      <c r="I64" s="51"/>
      <c r="J64" s="51"/>
      <c r="K64" s="56"/>
      <c r="L64" s="58"/>
    </row>
    <row r="65" spans="1:12" x14ac:dyDescent="0.35">
      <c r="A65" s="55"/>
      <c r="B65" s="51"/>
      <c r="C65" s="51"/>
      <c r="D65" s="51"/>
      <c r="E65" s="56"/>
      <c r="F65" s="51"/>
      <c r="G65" s="51"/>
      <c r="H65" s="51"/>
      <c r="I65" s="51"/>
      <c r="J65" s="51"/>
      <c r="K65" s="56"/>
      <c r="L65" s="58"/>
    </row>
    <row r="66" spans="1:12" x14ac:dyDescent="0.35">
      <c r="A66" s="55"/>
      <c r="B66" s="51"/>
      <c r="C66" s="51"/>
      <c r="D66" s="51"/>
      <c r="E66" s="56"/>
      <c r="F66" s="51"/>
      <c r="G66" s="51"/>
      <c r="H66" s="51"/>
      <c r="I66" s="51"/>
      <c r="J66" s="51"/>
      <c r="K66" s="56"/>
      <c r="L66" s="58"/>
    </row>
    <row r="67" spans="1:12" x14ac:dyDescent="0.35">
      <c r="A67" s="55"/>
      <c r="B67" s="51"/>
      <c r="C67" s="51"/>
      <c r="D67" s="51"/>
      <c r="E67" s="56"/>
      <c r="F67" s="51"/>
      <c r="G67" s="51"/>
      <c r="H67" s="51"/>
      <c r="I67" s="51"/>
      <c r="J67" s="51"/>
      <c r="K67" s="56"/>
      <c r="L67" s="58"/>
    </row>
    <row r="68" spans="1:12" x14ac:dyDescent="0.35">
      <c r="A68" s="55"/>
      <c r="B68" s="51"/>
      <c r="C68" s="51"/>
      <c r="D68" s="51"/>
      <c r="E68" s="56"/>
      <c r="F68" s="51"/>
      <c r="G68" s="51"/>
      <c r="H68" s="51"/>
      <c r="I68" s="51"/>
      <c r="J68" s="51"/>
      <c r="K68" s="56"/>
      <c r="L68" s="58"/>
    </row>
    <row r="69" spans="1:12" x14ac:dyDescent="0.35">
      <c r="A69" s="55"/>
      <c r="B69" s="51"/>
      <c r="C69" s="51"/>
      <c r="D69" s="51"/>
      <c r="E69" s="56"/>
      <c r="F69" s="51"/>
      <c r="G69" s="51"/>
      <c r="H69" s="51"/>
      <c r="I69" s="51"/>
      <c r="J69" s="51"/>
      <c r="K69" s="56"/>
      <c r="L69" s="58"/>
    </row>
    <row r="70" spans="1:12" ht="18" thickBot="1" x14ac:dyDescent="0.4">
      <c r="A70" s="59"/>
      <c r="B70" s="60"/>
      <c r="C70" s="60"/>
      <c r="D70" s="60"/>
      <c r="E70" s="61"/>
      <c r="F70" s="60"/>
      <c r="G70" s="60"/>
      <c r="H70" s="60"/>
      <c r="I70" s="60"/>
      <c r="J70" s="60"/>
      <c r="K70" s="61"/>
      <c r="L70" s="62"/>
    </row>
    <row r="72" spans="1:12" ht="18.600000000000001" thickBot="1" x14ac:dyDescent="0.4">
      <c r="A72" s="84" t="s">
        <v>46</v>
      </c>
      <c r="B72" s="84"/>
      <c r="C72" s="84"/>
      <c r="D72" s="84"/>
      <c r="E72" s="84"/>
      <c r="F72" s="84"/>
      <c r="G72" s="84"/>
      <c r="H72" s="84"/>
      <c r="I72" s="84" t="s">
        <v>17</v>
      </c>
      <c r="J72" s="84"/>
      <c r="K72" s="85">
        <v>400</v>
      </c>
      <c r="L72" s="85"/>
    </row>
    <row r="73" spans="1:12" ht="18" thickBot="1" x14ac:dyDescent="0.4">
      <c r="A73" s="63" t="s">
        <v>9</v>
      </c>
      <c r="B73" s="64"/>
      <c r="C73" s="64" t="s">
        <v>10</v>
      </c>
      <c r="D73" s="64" t="s">
        <v>19</v>
      </c>
      <c r="E73" s="86" t="s">
        <v>20</v>
      </c>
      <c r="F73" s="87"/>
      <c r="G73" s="64" t="s">
        <v>9</v>
      </c>
      <c r="H73" s="64"/>
      <c r="I73" s="64" t="s">
        <v>10</v>
      </c>
      <c r="J73" s="64" t="s">
        <v>19</v>
      </c>
      <c r="K73" s="86" t="s">
        <v>21</v>
      </c>
      <c r="L73" s="88"/>
    </row>
    <row r="74" spans="1:12" x14ac:dyDescent="0.35">
      <c r="A74" s="55"/>
      <c r="B74" s="51"/>
      <c r="C74" s="51"/>
      <c r="D74" s="51"/>
      <c r="E74" s="56"/>
      <c r="F74" s="51"/>
      <c r="G74" s="55" t="s">
        <v>34</v>
      </c>
      <c r="H74" s="51">
        <v>10</v>
      </c>
      <c r="I74" s="51"/>
      <c r="J74" s="51">
        <v>10</v>
      </c>
      <c r="K74" s="131">
        <v>3500</v>
      </c>
      <c r="L74" s="58"/>
    </row>
    <row r="75" spans="1:12" x14ac:dyDescent="0.35">
      <c r="A75" s="55"/>
      <c r="B75" s="51"/>
      <c r="C75" s="51"/>
      <c r="D75" s="51"/>
      <c r="E75" s="56"/>
      <c r="F75" s="51"/>
      <c r="G75" s="51"/>
      <c r="H75" s="51"/>
      <c r="I75" s="51"/>
      <c r="J75" s="51"/>
      <c r="K75" s="56"/>
      <c r="L75" s="58"/>
    </row>
    <row r="76" spans="1:12" x14ac:dyDescent="0.35">
      <c r="A76" s="55"/>
      <c r="B76" s="51"/>
      <c r="C76" s="51"/>
      <c r="D76" s="51"/>
      <c r="E76" s="56"/>
      <c r="F76" s="51"/>
      <c r="G76" s="51"/>
      <c r="H76" s="51"/>
      <c r="I76" s="51"/>
      <c r="J76" s="51"/>
      <c r="K76" s="56"/>
      <c r="L76" s="58"/>
    </row>
    <row r="77" spans="1:12" x14ac:dyDescent="0.35">
      <c r="A77" s="55"/>
      <c r="B77" s="51"/>
      <c r="C77" s="51"/>
      <c r="D77" s="51"/>
      <c r="E77" s="56"/>
      <c r="F77" s="51"/>
      <c r="G77" s="51"/>
      <c r="H77" s="51"/>
      <c r="I77" s="51"/>
      <c r="J77" s="51"/>
      <c r="K77" s="56"/>
      <c r="L77" s="58"/>
    </row>
    <row r="78" spans="1:12" x14ac:dyDescent="0.35">
      <c r="A78" s="55"/>
      <c r="B78" s="51"/>
      <c r="C78" s="51"/>
      <c r="D78" s="51"/>
      <c r="E78" s="56"/>
      <c r="F78" s="51"/>
      <c r="G78" s="51"/>
      <c r="H78" s="51"/>
      <c r="I78" s="51"/>
      <c r="J78" s="51"/>
      <c r="K78" s="56"/>
      <c r="L78" s="58"/>
    </row>
    <row r="79" spans="1:12" x14ac:dyDescent="0.35">
      <c r="A79" s="55"/>
      <c r="B79" s="51"/>
      <c r="C79" s="51"/>
      <c r="D79" s="51"/>
      <c r="E79" s="56"/>
      <c r="F79" s="51"/>
      <c r="G79" s="51"/>
      <c r="H79" s="51"/>
      <c r="I79" s="51"/>
      <c r="J79" s="51"/>
      <c r="K79" s="56"/>
      <c r="L79" s="58"/>
    </row>
    <row r="80" spans="1:12" x14ac:dyDescent="0.35">
      <c r="A80" s="55"/>
      <c r="B80" s="51"/>
      <c r="C80" s="51"/>
      <c r="D80" s="51"/>
      <c r="E80" s="56"/>
      <c r="F80" s="51"/>
      <c r="G80" s="51"/>
      <c r="H80" s="51"/>
      <c r="I80" s="51"/>
      <c r="J80" s="51"/>
      <c r="K80" s="56"/>
      <c r="L80" s="58"/>
    </row>
    <row r="81" spans="1:12" x14ac:dyDescent="0.35">
      <c r="A81" s="55"/>
      <c r="B81" s="51"/>
      <c r="C81" s="51"/>
      <c r="D81" s="51"/>
      <c r="E81" s="56"/>
      <c r="F81" s="51"/>
      <c r="G81" s="51"/>
      <c r="H81" s="51"/>
      <c r="I81" s="51"/>
      <c r="J81" s="51"/>
      <c r="K81" s="56"/>
      <c r="L81" s="58"/>
    </row>
    <row r="82" spans="1:12" ht="18" thickBot="1" x14ac:dyDescent="0.4">
      <c r="A82" s="59"/>
      <c r="B82" s="60"/>
      <c r="C82" s="60"/>
      <c r="D82" s="60"/>
      <c r="E82" s="61"/>
      <c r="F82" s="60"/>
      <c r="G82" s="60"/>
      <c r="H82" s="60"/>
      <c r="I82" s="60"/>
      <c r="J82" s="60"/>
      <c r="K82" s="61"/>
      <c r="L82" s="62"/>
    </row>
    <row r="84" spans="1:12" ht="18.600000000000001" thickBot="1" x14ac:dyDescent="0.4">
      <c r="A84" s="84" t="s">
        <v>49</v>
      </c>
      <c r="B84" s="84"/>
      <c r="C84" s="84"/>
      <c r="D84" s="84"/>
      <c r="E84" s="84"/>
      <c r="F84" s="84"/>
      <c r="G84" s="84"/>
      <c r="H84" s="84"/>
      <c r="I84" s="84" t="s">
        <v>17</v>
      </c>
      <c r="J84" s="84"/>
      <c r="K84" s="85">
        <v>600</v>
      </c>
      <c r="L84" s="85"/>
    </row>
    <row r="85" spans="1:12" ht="18" thickBot="1" x14ac:dyDescent="0.4">
      <c r="A85" s="63" t="s">
        <v>9</v>
      </c>
      <c r="B85" s="64"/>
      <c r="C85" s="64" t="s">
        <v>10</v>
      </c>
      <c r="D85" s="64" t="s">
        <v>19</v>
      </c>
      <c r="E85" s="86" t="s">
        <v>20</v>
      </c>
      <c r="F85" s="87"/>
      <c r="G85" s="64" t="s">
        <v>9</v>
      </c>
      <c r="H85" s="64"/>
      <c r="I85" s="64" t="s">
        <v>10</v>
      </c>
      <c r="J85" s="64" t="s">
        <v>19</v>
      </c>
      <c r="K85" s="86" t="s">
        <v>21</v>
      </c>
      <c r="L85" s="88"/>
    </row>
    <row r="86" spans="1:12" x14ac:dyDescent="0.35">
      <c r="A86" s="55" t="s">
        <v>34</v>
      </c>
      <c r="B86" s="51">
        <v>15</v>
      </c>
      <c r="C86" s="51"/>
      <c r="D86" s="51">
        <v>10</v>
      </c>
      <c r="E86" s="131">
        <v>6500</v>
      </c>
      <c r="F86" s="51"/>
      <c r="G86" s="51"/>
      <c r="H86" s="51"/>
      <c r="I86" s="51"/>
      <c r="J86" s="51"/>
      <c r="K86" s="56"/>
      <c r="L86" s="58"/>
    </row>
    <row r="87" spans="1:12" x14ac:dyDescent="0.35">
      <c r="A87" s="55"/>
      <c r="B87" s="51"/>
      <c r="C87" s="51"/>
      <c r="D87" s="51"/>
      <c r="E87" s="56"/>
      <c r="F87" s="51"/>
      <c r="G87" s="51"/>
      <c r="H87" s="51"/>
      <c r="I87" s="51"/>
      <c r="J87" s="51"/>
      <c r="K87" s="56"/>
      <c r="L87" s="58"/>
    </row>
    <row r="88" spans="1:12" x14ac:dyDescent="0.35">
      <c r="A88" s="55"/>
      <c r="B88" s="51"/>
      <c r="C88" s="51"/>
      <c r="D88" s="51"/>
      <c r="E88" s="56"/>
      <c r="F88" s="51"/>
      <c r="G88" s="51"/>
      <c r="H88" s="51"/>
      <c r="I88" s="51"/>
      <c r="J88" s="51"/>
      <c r="K88" s="56"/>
      <c r="L88" s="58"/>
    </row>
    <row r="89" spans="1:12" x14ac:dyDescent="0.35">
      <c r="A89" s="55"/>
      <c r="B89" s="51"/>
      <c r="C89" s="51"/>
      <c r="D89" s="51"/>
      <c r="E89" s="56"/>
      <c r="F89" s="51"/>
      <c r="G89" s="51"/>
      <c r="H89" s="51"/>
      <c r="I89" s="51"/>
      <c r="J89" s="51"/>
      <c r="K89" s="56"/>
      <c r="L89" s="58"/>
    </row>
    <row r="90" spans="1:12" x14ac:dyDescent="0.35">
      <c r="A90" s="55"/>
      <c r="B90" s="51"/>
      <c r="C90" s="51"/>
      <c r="D90" s="51"/>
      <c r="E90" s="56"/>
      <c r="F90" s="51"/>
      <c r="G90" s="51"/>
      <c r="H90" s="51"/>
      <c r="I90" s="51"/>
      <c r="J90" s="51"/>
      <c r="K90" s="56"/>
      <c r="L90" s="58"/>
    </row>
    <row r="91" spans="1:12" x14ac:dyDescent="0.35">
      <c r="A91" s="55"/>
      <c r="B91" s="51"/>
      <c r="C91" s="51"/>
      <c r="D91" s="51"/>
      <c r="E91" s="56"/>
      <c r="F91" s="51"/>
      <c r="G91" s="51"/>
      <c r="H91" s="51"/>
      <c r="I91" s="51"/>
      <c r="J91" s="51"/>
      <c r="K91" s="56"/>
      <c r="L91" s="58"/>
    </row>
    <row r="92" spans="1:12" x14ac:dyDescent="0.35">
      <c r="A92" s="55"/>
      <c r="B92" s="51"/>
      <c r="C92" s="51"/>
      <c r="D92" s="51"/>
      <c r="E92" s="56"/>
      <c r="F92" s="51"/>
      <c r="G92" s="51"/>
      <c r="H92" s="51"/>
      <c r="I92" s="51"/>
      <c r="J92" s="51"/>
      <c r="K92" s="56"/>
      <c r="L92" s="58"/>
    </row>
    <row r="93" spans="1:12" x14ac:dyDescent="0.35">
      <c r="A93" s="55"/>
      <c r="B93" s="51"/>
      <c r="C93" s="51"/>
      <c r="D93" s="51"/>
      <c r="E93" s="56"/>
      <c r="F93" s="51"/>
      <c r="G93" s="51"/>
      <c r="H93" s="51"/>
      <c r="I93" s="51"/>
      <c r="J93" s="51"/>
      <c r="K93" s="56"/>
      <c r="L93" s="58"/>
    </row>
    <row r="94" spans="1:12" ht="18" thickBot="1" x14ac:dyDescent="0.4">
      <c r="A94" s="59"/>
      <c r="B94" s="60"/>
      <c r="C94" s="60"/>
      <c r="D94" s="60"/>
      <c r="E94" s="61"/>
      <c r="F94" s="60"/>
      <c r="G94" s="60"/>
      <c r="H94" s="60"/>
      <c r="I94" s="60"/>
      <c r="J94" s="60"/>
      <c r="K94" s="61"/>
      <c r="L94" s="62"/>
    </row>
    <row r="96" spans="1:12" ht="18.600000000000001" thickBot="1" x14ac:dyDescent="0.4">
      <c r="A96" s="84" t="s">
        <v>43</v>
      </c>
      <c r="B96" s="84"/>
      <c r="C96" s="84"/>
      <c r="D96" s="84"/>
      <c r="E96" s="84"/>
      <c r="F96" s="84"/>
      <c r="G96" s="84"/>
      <c r="H96" s="84"/>
      <c r="I96" s="84" t="s">
        <v>17</v>
      </c>
      <c r="J96" s="84"/>
      <c r="K96" s="85">
        <v>601</v>
      </c>
      <c r="L96" s="85"/>
    </row>
    <row r="97" spans="1:12" ht="18" thickBot="1" x14ac:dyDescent="0.4">
      <c r="A97" s="63" t="s">
        <v>9</v>
      </c>
      <c r="B97" s="64"/>
      <c r="C97" s="64" t="s">
        <v>10</v>
      </c>
      <c r="D97" s="64" t="s">
        <v>19</v>
      </c>
      <c r="E97" s="86" t="s">
        <v>20</v>
      </c>
      <c r="F97" s="87"/>
      <c r="G97" s="64" t="s">
        <v>9</v>
      </c>
      <c r="H97" s="64"/>
      <c r="I97" s="64" t="s">
        <v>10</v>
      </c>
      <c r="J97" s="64" t="s">
        <v>19</v>
      </c>
      <c r="K97" s="86" t="s">
        <v>21</v>
      </c>
      <c r="L97" s="88"/>
    </row>
    <row r="98" spans="1:12" x14ac:dyDescent="0.35">
      <c r="A98" s="55" t="s">
        <v>34</v>
      </c>
      <c r="B98" s="51">
        <v>8</v>
      </c>
      <c r="C98" s="51"/>
      <c r="D98" s="51">
        <v>10</v>
      </c>
      <c r="E98" s="131">
        <v>1116</v>
      </c>
      <c r="F98" s="51"/>
      <c r="G98" s="51"/>
      <c r="H98" s="51"/>
      <c r="I98" s="51"/>
      <c r="J98" s="51"/>
      <c r="K98" s="56"/>
      <c r="L98" s="58"/>
    </row>
    <row r="99" spans="1:12" x14ac:dyDescent="0.35">
      <c r="A99" s="55"/>
      <c r="B99" s="51"/>
      <c r="C99" s="51"/>
      <c r="D99" s="51"/>
      <c r="E99" s="56"/>
      <c r="F99" s="51"/>
      <c r="G99" s="51"/>
      <c r="H99" s="51"/>
      <c r="I99" s="51"/>
      <c r="J99" s="51"/>
      <c r="K99" s="56"/>
      <c r="L99" s="58"/>
    </row>
    <row r="100" spans="1:12" x14ac:dyDescent="0.35">
      <c r="A100" s="55"/>
      <c r="B100" s="51"/>
      <c r="C100" s="51"/>
      <c r="D100" s="51"/>
      <c r="E100" s="56"/>
      <c r="F100" s="51"/>
      <c r="G100" s="51"/>
      <c r="H100" s="51"/>
      <c r="I100" s="51"/>
      <c r="J100" s="51"/>
      <c r="K100" s="56"/>
      <c r="L100" s="58"/>
    </row>
    <row r="101" spans="1:12" x14ac:dyDescent="0.35">
      <c r="A101" s="55"/>
      <c r="B101" s="51"/>
      <c r="C101" s="51"/>
      <c r="D101" s="51"/>
      <c r="E101" s="56"/>
      <c r="F101" s="51"/>
      <c r="G101" s="51"/>
      <c r="H101" s="51"/>
      <c r="I101" s="51"/>
      <c r="J101" s="51"/>
      <c r="K101" s="56"/>
      <c r="L101" s="58"/>
    </row>
    <row r="102" spans="1:12" x14ac:dyDescent="0.35">
      <c r="A102" s="55"/>
      <c r="B102" s="51"/>
      <c r="C102" s="51"/>
      <c r="D102" s="51"/>
      <c r="E102" s="56"/>
      <c r="F102" s="51"/>
      <c r="G102" s="51"/>
      <c r="H102" s="51"/>
      <c r="I102" s="51"/>
      <c r="J102" s="51"/>
      <c r="K102" s="56"/>
      <c r="L102" s="58"/>
    </row>
    <row r="103" spans="1:12" x14ac:dyDescent="0.35">
      <c r="A103" s="55"/>
      <c r="B103" s="51"/>
      <c r="C103" s="51"/>
      <c r="D103" s="51"/>
      <c r="E103" s="56"/>
      <c r="F103" s="51"/>
      <c r="G103" s="51"/>
      <c r="H103" s="51"/>
      <c r="I103" s="51"/>
      <c r="J103" s="51"/>
      <c r="K103" s="56"/>
      <c r="L103" s="58"/>
    </row>
    <row r="104" spans="1:12" x14ac:dyDescent="0.35">
      <c r="A104" s="55"/>
      <c r="B104" s="51"/>
      <c r="C104" s="51"/>
      <c r="D104" s="51"/>
      <c r="E104" s="56"/>
      <c r="F104" s="51"/>
      <c r="G104" s="51"/>
      <c r="H104" s="51"/>
      <c r="I104" s="51"/>
      <c r="J104" s="51"/>
      <c r="K104" s="56"/>
      <c r="L104" s="58"/>
    </row>
    <row r="105" spans="1:12" x14ac:dyDescent="0.35">
      <c r="A105" s="55"/>
      <c r="B105" s="51"/>
      <c r="C105" s="51"/>
      <c r="D105" s="51"/>
      <c r="E105" s="56"/>
      <c r="F105" s="51"/>
      <c r="G105" s="51"/>
      <c r="H105" s="51"/>
      <c r="I105" s="51"/>
      <c r="J105" s="51"/>
      <c r="K105" s="56"/>
      <c r="L105" s="58"/>
    </row>
    <row r="106" spans="1:12" ht="18" thickBot="1" x14ac:dyDescent="0.4">
      <c r="A106" s="59"/>
      <c r="B106" s="60"/>
      <c r="C106" s="60"/>
      <c r="D106" s="60"/>
      <c r="E106" s="61"/>
      <c r="F106" s="60"/>
      <c r="G106" s="60"/>
      <c r="H106" s="60"/>
      <c r="I106" s="60"/>
      <c r="J106" s="60"/>
      <c r="K106" s="61"/>
      <c r="L106" s="62"/>
    </row>
    <row r="108" spans="1:12" ht="18.600000000000001" thickBot="1" x14ac:dyDescent="0.4">
      <c r="A108" s="84" t="s">
        <v>56</v>
      </c>
      <c r="B108" s="84"/>
      <c r="C108" s="84"/>
      <c r="D108" s="84"/>
      <c r="E108" s="84"/>
      <c r="F108" s="84"/>
      <c r="G108" s="84"/>
      <c r="H108" s="84"/>
      <c r="I108" s="84" t="s">
        <v>17</v>
      </c>
      <c r="J108" s="84"/>
      <c r="K108" s="85">
        <f>K96+1</f>
        <v>602</v>
      </c>
      <c r="L108" s="85"/>
    </row>
    <row r="109" spans="1:12" ht="18" thickBot="1" x14ac:dyDescent="0.4">
      <c r="A109" s="63" t="s">
        <v>9</v>
      </c>
      <c r="B109" s="64"/>
      <c r="C109" s="64" t="s">
        <v>10</v>
      </c>
      <c r="D109" s="64" t="s">
        <v>19</v>
      </c>
      <c r="E109" s="86" t="s">
        <v>20</v>
      </c>
      <c r="F109" s="87"/>
      <c r="G109" s="64" t="s">
        <v>9</v>
      </c>
      <c r="H109" s="64"/>
      <c r="I109" s="64" t="s">
        <v>10</v>
      </c>
      <c r="J109" s="64" t="s">
        <v>19</v>
      </c>
      <c r="K109" s="86" t="s">
        <v>21</v>
      </c>
      <c r="L109" s="88"/>
    </row>
    <row r="110" spans="1:12" x14ac:dyDescent="0.35">
      <c r="A110" s="55" t="s">
        <v>34</v>
      </c>
      <c r="B110" s="51">
        <v>27</v>
      </c>
      <c r="C110" s="51"/>
      <c r="D110" s="51">
        <v>10</v>
      </c>
      <c r="E110" s="134">
        <v>400</v>
      </c>
      <c r="F110" s="51"/>
      <c r="G110" s="51"/>
      <c r="H110" s="51"/>
      <c r="I110" s="51"/>
      <c r="J110" s="51"/>
      <c r="K110" s="56"/>
      <c r="L110" s="58"/>
    </row>
    <row r="111" spans="1:12" x14ac:dyDescent="0.35">
      <c r="A111" s="55"/>
      <c r="B111" s="51"/>
      <c r="C111" s="51"/>
      <c r="D111" s="51"/>
      <c r="E111" s="56"/>
      <c r="F111" s="51"/>
      <c r="G111" s="51"/>
      <c r="H111" s="51"/>
      <c r="I111" s="51"/>
      <c r="J111" s="51"/>
      <c r="K111" s="56"/>
      <c r="L111" s="58"/>
    </row>
    <row r="112" spans="1:12" x14ac:dyDescent="0.35">
      <c r="A112" s="55"/>
      <c r="B112" s="51"/>
      <c r="C112" s="51"/>
      <c r="D112" s="51"/>
      <c r="E112" s="56"/>
      <c r="F112" s="51"/>
      <c r="G112" s="51"/>
      <c r="H112" s="51"/>
      <c r="I112" s="51"/>
      <c r="J112" s="51"/>
      <c r="K112" s="56"/>
      <c r="L112" s="58"/>
    </row>
    <row r="113" spans="1:12" x14ac:dyDescent="0.35">
      <c r="A113" s="55"/>
      <c r="B113" s="51"/>
      <c r="C113" s="51"/>
      <c r="D113" s="51"/>
      <c r="E113" s="56"/>
      <c r="F113" s="51"/>
      <c r="G113" s="51"/>
      <c r="H113" s="51"/>
      <c r="I113" s="51"/>
      <c r="J113" s="51"/>
      <c r="K113" s="56"/>
      <c r="L113" s="58"/>
    </row>
    <row r="114" spans="1:12" x14ac:dyDescent="0.35">
      <c r="A114" s="55"/>
      <c r="B114" s="51"/>
      <c r="C114" s="51"/>
      <c r="D114" s="51"/>
      <c r="E114" s="56"/>
      <c r="F114" s="51"/>
      <c r="G114" s="51"/>
      <c r="H114" s="51"/>
      <c r="I114" s="51"/>
      <c r="J114" s="51"/>
      <c r="K114" s="56"/>
      <c r="L114" s="58"/>
    </row>
    <row r="115" spans="1:12" x14ac:dyDescent="0.35">
      <c r="A115" s="55"/>
      <c r="B115" s="51"/>
      <c r="C115" s="51"/>
      <c r="D115" s="51"/>
      <c r="E115" s="56"/>
      <c r="F115" s="51"/>
      <c r="G115" s="51"/>
      <c r="H115" s="51"/>
      <c r="I115" s="51"/>
      <c r="J115" s="51"/>
      <c r="K115" s="56"/>
      <c r="L115" s="58"/>
    </row>
    <row r="116" spans="1:12" x14ac:dyDescent="0.35">
      <c r="A116" s="55"/>
      <c r="B116" s="51"/>
      <c r="C116" s="51"/>
      <c r="D116" s="51"/>
      <c r="E116" s="56"/>
      <c r="F116" s="51"/>
      <c r="G116" s="51"/>
      <c r="H116" s="51"/>
      <c r="I116" s="51"/>
      <c r="J116" s="51"/>
      <c r="K116" s="56"/>
      <c r="L116" s="58"/>
    </row>
    <row r="117" spans="1:12" x14ac:dyDescent="0.35">
      <c r="A117" s="55"/>
      <c r="B117" s="51"/>
      <c r="C117" s="51"/>
      <c r="D117" s="51"/>
      <c r="E117" s="56"/>
      <c r="F117" s="51"/>
      <c r="G117" s="51"/>
      <c r="H117" s="51"/>
      <c r="I117" s="51"/>
      <c r="J117" s="51"/>
      <c r="K117" s="56"/>
      <c r="L117" s="58"/>
    </row>
    <row r="118" spans="1:12" ht="18" thickBot="1" x14ac:dyDescent="0.4">
      <c r="A118" s="59"/>
      <c r="B118" s="60"/>
      <c r="C118" s="60"/>
      <c r="D118" s="60"/>
      <c r="E118" s="61"/>
      <c r="F118" s="60"/>
      <c r="G118" s="60"/>
      <c r="H118" s="60"/>
      <c r="I118" s="60"/>
      <c r="J118" s="60"/>
      <c r="K118" s="61"/>
      <c r="L118" s="62"/>
    </row>
    <row r="120" spans="1:12" ht="18.600000000000001" thickBot="1" x14ac:dyDescent="0.4">
      <c r="A120" s="84" t="s">
        <v>57</v>
      </c>
      <c r="B120" s="84"/>
      <c r="C120" s="84"/>
      <c r="D120" s="84"/>
      <c r="E120" s="84"/>
      <c r="F120" s="84"/>
      <c r="G120" s="84"/>
      <c r="H120" s="84"/>
      <c r="I120" s="84" t="s">
        <v>17</v>
      </c>
      <c r="J120" s="84"/>
      <c r="K120" s="85">
        <f>K108+1</f>
        <v>603</v>
      </c>
      <c r="L120" s="85"/>
    </row>
    <row r="121" spans="1:12" ht="18" thickBot="1" x14ac:dyDescent="0.4">
      <c r="A121" s="63" t="s">
        <v>9</v>
      </c>
      <c r="B121" s="64"/>
      <c r="C121" s="64" t="s">
        <v>10</v>
      </c>
      <c r="D121" s="64" t="s">
        <v>19</v>
      </c>
      <c r="E121" s="86" t="s">
        <v>20</v>
      </c>
      <c r="F121" s="87"/>
      <c r="G121" s="64" t="s">
        <v>9</v>
      </c>
      <c r="H121" s="64"/>
      <c r="I121" s="64" t="s">
        <v>10</v>
      </c>
      <c r="J121" s="64" t="s">
        <v>19</v>
      </c>
      <c r="K121" s="86" t="s">
        <v>21</v>
      </c>
      <c r="L121" s="88"/>
    </row>
    <row r="122" spans="1:12" x14ac:dyDescent="0.35">
      <c r="A122" s="55" t="s">
        <v>34</v>
      </c>
      <c r="B122" s="51">
        <v>27</v>
      </c>
      <c r="C122" s="51"/>
      <c r="D122" s="51">
        <v>10</v>
      </c>
      <c r="E122" s="135">
        <v>150</v>
      </c>
      <c r="F122" s="51"/>
      <c r="G122" s="51"/>
      <c r="H122" s="51"/>
      <c r="I122" s="51"/>
      <c r="J122" s="51"/>
      <c r="K122" s="56"/>
      <c r="L122" s="58"/>
    </row>
    <row r="123" spans="1:12" x14ac:dyDescent="0.35">
      <c r="A123" s="55"/>
      <c r="B123" s="51"/>
      <c r="C123" s="51"/>
      <c r="D123" s="51"/>
      <c r="E123" s="56"/>
      <c r="F123" s="51"/>
      <c r="G123" s="51"/>
      <c r="H123" s="51"/>
      <c r="I123" s="51"/>
      <c r="J123" s="51"/>
      <c r="K123" s="56"/>
      <c r="L123" s="58"/>
    </row>
    <row r="124" spans="1:12" x14ac:dyDescent="0.35">
      <c r="A124" s="55"/>
      <c r="B124" s="51"/>
      <c r="C124" s="51"/>
      <c r="D124" s="51"/>
      <c r="E124" s="56"/>
      <c r="F124" s="51"/>
      <c r="G124" s="51"/>
      <c r="H124" s="51"/>
      <c r="I124" s="51"/>
      <c r="J124" s="51"/>
      <c r="K124" s="56"/>
      <c r="L124" s="58"/>
    </row>
    <row r="125" spans="1:12" x14ac:dyDescent="0.35">
      <c r="A125" s="55"/>
      <c r="B125" s="51"/>
      <c r="C125" s="51"/>
      <c r="D125" s="51"/>
      <c r="E125" s="56"/>
      <c r="F125" s="51"/>
      <c r="G125" s="51"/>
      <c r="H125" s="51"/>
      <c r="I125" s="51"/>
      <c r="J125" s="51"/>
      <c r="K125" s="56"/>
      <c r="L125" s="58"/>
    </row>
    <row r="126" spans="1:12" x14ac:dyDescent="0.35">
      <c r="A126" s="55"/>
      <c r="B126" s="51"/>
      <c r="C126" s="51"/>
      <c r="D126" s="51"/>
      <c r="E126" s="56"/>
      <c r="F126" s="51"/>
      <c r="G126" s="51"/>
      <c r="H126" s="51"/>
      <c r="I126" s="51"/>
      <c r="J126" s="51"/>
      <c r="K126" s="56"/>
      <c r="L126" s="58"/>
    </row>
    <row r="127" spans="1:12" x14ac:dyDescent="0.35">
      <c r="A127" s="55"/>
      <c r="B127" s="51"/>
      <c r="C127" s="51"/>
      <c r="D127" s="51"/>
      <c r="E127" s="56"/>
      <c r="F127" s="51"/>
      <c r="G127" s="51"/>
      <c r="H127" s="51"/>
      <c r="I127" s="51"/>
      <c r="J127" s="51"/>
      <c r="K127" s="56"/>
      <c r="L127" s="58"/>
    </row>
    <row r="128" spans="1:12" x14ac:dyDescent="0.35">
      <c r="A128" s="55"/>
      <c r="B128" s="51"/>
      <c r="C128" s="51"/>
      <c r="D128" s="51"/>
      <c r="E128" s="56"/>
      <c r="F128" s="51"/>
      <c r="G128" s="51"/>
      <c r="H128" s="51"/>
      <c r="I128" s="51"/>
      <c r="J128" s="51"/>
      <c r="K128" s="56"/>
      <c r="L128" s="58"/>
    </row>
    <row r="129" spans="1:12" x14ac:dyDescent="0.35">
      <c r="A129" s="55"/>
      <c r="B129" s="51"/>
      <c r="C129" s="51"/>
      <c r="D129" s="51"/>
      <c r="E129" s="56"/>
      <c r="F129" s="51"/>
      <c r="G129" s="51"/>
      <c r="H129" s="51"/>
      <c r="I129" s="51"/>
      <c r="J129" s="51"/>
      <c r="K129" s="56"/>
      <c r="L129" s="58"/>
    </row>
    <row r="130" spans="1:12" ht="18" thickBot="1" x14ac:dyDescent="0.4">
      <c r="A130" s="59"/>
      <c r="B130" s="60"/>
      <c r="C130" s="60"/>
      <c r="D130" s="60"/>
      <c r="E130" s="61"/>
      <c r="F130" s="60"/>
      <c r="G130" s="60"/>
      <c r="H130" s="60"/>
      <c r="I130" s="60"/>
      <c r="J130" s="60"/>
      <c r="K130" s="61"/>
      <c r="L130" s="62"/>
    </row>
    <row r="132" spans="1:12" ht="18.600000000000001" thickBot="1" x14ac:dyDescent="0.4">
      <c r="A132" s="84" t="s">
        <v>58</v>
      </c>
      <c r="B132" s="84"/>
      <c r="C132" s="84"/>
      <c r="D132" s="84"/>
      <c r="E132" s="84"/>
      <c r="F132" s="84"/>
      <c r="G132" s="84"/>
      <c r="H132" s="84"/>
      <c r="I132" s="84" t="s">
        <v>17</v>
      </c>
      <c r="J132" s="84"/>
      <c r="K132" s="85">
        <f>K120+1</f>
        <v>604</v>
      </c>
      <c r="L132" s="85"/>
    </row>
    <row r="133" spans="1:12" ht="18" thickBot="1" x14ac:dyDescent="0.4">
      <c r="A133" s="63" t="s">
        <v>9</v>
      </c>
      <c r="B133" s="64"/>
      <c r="C133" s="64" t="s">
        <v>10</v>
      </c>
      <c r="D133" s="64" t="s">
        <v>19</v>
      </c>
      <c r="E133" s="86" t="s">
        <v>20</v>
      </c>
      <c r="F133" s="87"/>
      <c r="G133" s="64" t="s">
        <v>9</v>
      </c>
      <c r="H133" s="64"/>
      <c r="I133" s="64" t="s">
        <v>10</v>
      </c>
      <c r="J133" s="64" t="s">
        <v>19</v>
      </c>
      <c r="K133" s="86" t="s">
        <v>21</v>
      </c>
      <c r="L133" s="88"/>
    </row>
    <row r="134" spans="1:12" x14ac:dyDescent="0.35">
      <c r="A134" s="55" t="s">
        <v>34</v>
      </c>
      <c r="B134" s="51">
        <v>27</v>
      </c>
      <c r="C134" s="51"/>
      <c r="D134" s="51"/>
      <c r="E134" s="44">
        <v>120</v>
      </c>
      <c r="F134" s="51"/>
      <c r="G134" s="51"/>
      <c r="H134" s="51"/>
      <c r="I134" s="51"/>
      <c r="J134" s="51"/>
      <c r="K134" s="56"/>
      <c r="L134" s="58"/>
    </row>
    <row r="135" spans="1:12" x14ac:dyDescent="0.35">
      <c r="A135" s="55"/>
      <c r="B135" s="51"/>
      <c r="C135" s="51"/>
      <c r="D135" s="51"/>
      <c r="E135" s="56"/>
      <c r="F135" s="51"/>
      <c r="G135" s="51"/>
      <c r="H135" s="51"/>
      <c r="I135" s="51"/>
      <c r="J135" s="51"/>
      <c r="K135" s="56"/>
      <c r="L135" s="58"/>
    </row>
    <row r="136" spans="1:12" x14ac:dyDescent="0.35">
      <c r="A136" s="55"/>
      <c r="B136" s="51"/>
      <c r="C136" s="51"/>
      <c r="D136" s="51"/>
      <c r="E136" s="56"/>
      <c r="F136" s="51"/>
      <c r="G136" s="51"/>
      <c r="H136" s="51"/>
      <c r="I136" s="51"/>
      <c r="J136" s="51"/>
      <c r="K136" s="56"/>
      <c r="L136" s="58"/>
    </row>
    <row r="137" spans="1:12" x14ac:dyDescent="0.35">
      <c r="A137" s="55"/>
      <c r="B137" s="51"/>
      <c r="C137" s="51"/>
      <c r="D137" s="51"/>
      <c r="E137" s="56"/>
      <c r="F137" s="51"/>
      <c r="G137" s="51"/>
      <c r="H137" s="51"/>
      <c r="I137" s="51"/>
      <c r="J137" s="51"/>
      <c r="K137" s="56"/>
      <c r="L137" s="58"/>
    </row>
    <row r="138" spans="1:12" x14ac:dyDescent="0.35">
      <c r="A138" s="55"/>
      <c r="B138" s="51"/>
      <c r="C138" s="51"/>
      <c r="D138" s="51"/>
      <c r="E138" s="56"/>
      <c r="F138" s="51"/>
      <c r="G138" s="51"/>
      <c r="H138" s="51"/>
      <c r="I138" s="51"/>
      <c r="J138" s="51"/>
      <c r="K138" s="56"/>
      <c r="L138" s="58"/>
    </row>
    <row r="139" spans="1:12" x14ac:dyDescent="0.35">
      <c r="A139" s="55"/>
      <c r="B139" s="51"/>
      <c r="C139" s="51"/>
      <c r="D139" s="51"/>
      <c r="E139" s="56"/>
      <c r="F139" s="51"/>
      <c r="G139" s="51"/>
      <c r="H139" s="51"/>
      <c r="I139" s="51"/>
      <c r="J139" s="51"/>
      <c r="K139" s="56"/>
      <c r="L139" s="58"/>
    </row>
    <row r="140" spans="1:12" x14ac:dyDescent="0.35">
      <c r="A140" s="55"/>
      <c r="B140" s="51"/>
      <c r="C140" s="51"/>
      <c r="D140" s="51"/>
      <c r="E140" s="56"/>
      <c r="F140" s="51"/>
      <c r="G140" s="51"/>
      <c r="H140" s="51"/>
      <c r="I140" s="51"/>
      <c r="J140" s="51"/>
      <c r="K140" s="56"/>
      <c r="L140" s="58"/>
    </row>
    <row r="141" spans="1:12" x14ac:dyDescent="0.35">
      <c r="A141" s="55"/>
      <c r="B141" s="51"/>
      <c r="C141" s="51"/>
      <c r="D141" s="51"/>
      <c r="E141" s="56"/>
      <c r="F141" s="51"/>
      <c r="G141" s="51"/>
      <c r="H141" s="51"/>
      <c r="I141" s="51"/>
      <c r="J141" s="51"/>
      <c r="K141" s="56"/>
      <c r="L141" s="58"/>
    </row>
    <row r="142" spans="1:12" ht="18" thickBot="1" x14ac:dyDescent="0.4">
      <c r="A142" s="59"/>
      <c r="B142" s="60"/>
      <c r="C142" s="60"/>
      <c r="D142" s="60"/>
      <c r="E142" s="61"/>
      <c r="F142" s="60"/>
      <c r="G142" s="60"/>
      <c r="H142" s="60"/>
      <c r="I142" s="60"/>
      <c r="J142" s="60"/>
      <c r="K142" s="61"/>
      <c r="L142" s="62"/>
    </row>
    <row r="144" spans="1:12" ht="18.600000000000001" thickBot="1" x14ac:dyDescent="0.4">
      <c r="A144" s="84" t="s">
        <v>60</v>
      </c>
      <c r="B144" s="84"/>
      <c r="C144" s="84"/>
      <c r="D144" s="84"/>
      <c r="E144" s="84"/>
      <c r="F144" s="84"/>
      <c r="G144" s="84"/>
      <c r="H144" s="84"/>
      <c r="I144" s="84" t="s">
        <v>17</v>
      </c>
      <c r="J144" s="84"/>
      <c r="K144" s="85">
        <v>605</v>
      </c>
      <c r="L144" s="85"/>
    </row>
    <row r="145" spans="1:12" ht="18" thickBot="1" x14ac:dyDescent="0.4">
      <c r="A145" s="63" t="s">
        <v>9</v>
      </c>
      <c r="B145" s="64"/>
      <c r="C145" s="64" t="s">
        <v>10</v>
      </c>
      <c r="D145" s="64" t="s">
        <v>19</v>
      </c>
      <c r="E145" s="86" t="s">
        <v>20</v>
      </c>
      <c r="F145" s="87"/>
      <c r="G145" s="64" t="s">
        <v>9</v>
      </c>
      <c r="H145" s="64"/>
      <c r="I145" s="64" t="s">
        <v>10</v>
      </c>
      <c r="J145" s="64" t="s">
        <v>19</v>
      </c>
      <c r="K145" s="86" t="s">
        <v>21</v>
      </c>
      <c r="L145" s="88"/>
    </row>
    <row r="146" spans="1:12" x14ac:dyDescent="0.35">
      <c r="A146" s="55" t="s">
        <v>34</v>
      </c>
      <c r="B146" s="51">
        <v>30</v>
      </c>
      <c r="C146" s="51"/>
      <c r="D146" s="51">
        <v>10</v>
      </c>
      <c r="E146" s="134">
        <v>1395</v>
      </c>
      <c r="F146" s="51"/>
      <c r="G146" s="51"/>
      <c r="H146" s="51"/>
      <c r="I146" s="51"/>
      <c r="J146" s="51"/>
      <c r="K146" s="56"/>
      <c r="L146" s="58"/>
    </row>
    <row r="147" spans="1:12" x14ac:dyDescent="0.35">
      <c r="A147" s="55"/>
      <c r="B147" s="51"/>
      <c r="C147" s="51"/>
      <c r="D147" s="51"/>
      <c r="E147" s="56"/>
      <c r="F147" s="51"/>
      <c r="G147" s="51"/>
      <c r="H147" s="51"/>
      <c r="I147" s="51"/>
      <c r="J147" s="51"/>
      <c r="K147" s="56"/>
      <c r="L147" s="58"/>
    </row>
    <row r="148" spans="1:12" x14ac:dyDescent="0.35">
      <c r="A148" s="55"/>
      <c r="B148" s="51"/>
      <c r="C148" s="51"/>
      <c r="D148" s="51"/>
      <c r="E148" s="56"/>
      <c r="F148" s="51"/>
      <c r="G148" s="51"/>
      <c r="H148" s="51"/>
      <c r="I148" s="51"/>
      <c r="J148" s="51"/>
      <c r="K148" s="56"/>
      <c r="L148" s="58"/>
    </row>
    <row r="149" spans="1:12" x14ac:dyDescent="0.35">
      <c r="A149" s="55"/>
      <c r="B149" s="51"/>
      <c r="C149" s="51"/>
      <c r="D149" s="51"/>
      <c r="E149" s="56"/>
      <c r="F149" s="51"/>
      <c r="G149" s="51"/>
      <c r="H149" s="51"/>
      <c r="I149" s="51"/>
      <c r="J149" s="51"/>
      <c r="K149" s="56"/>
      <c r="L149" s="58"/>
    </row>
    <row r="150" spans="1:12" x14ac:dyDescent="0.35">
      <c r="A150" s="55"/>
      <c r="B150" s="51"/>
      <c r="C150" s="51"/>
      <c r="D150" s="51"/>
      <c r="E150" s="56"/>
      <c r="F150" s="51"/>
      <c r="G150" s="51"/>
      <c r="H150" s="51"/>
      <c r="I150" s="51"/>
      <c r="J150" s="51"/>
      <c r="K150" s="56"/>
      <c r="L150" s="58"/>
    </row>
    <row r="151" spans="1:12" x14ac:dyDescent="0.35">
      <c r="A151" s="55"/>
      <c r="B151" s="51"/>
      <c r="C151" s="51"/>
      <c r="D151" s="51"/>
      <c r="E151" s="56"/>
      <c r="F151" s="51"/>
      <c r="G151" s="51"/>
      <c r="H151" s="51"/>
      <c r="I151" s="51"/>
      <c r="J151" s="51"/>
      <c r="K151" s="56"/>
      <c r="L151" s="58"/>
    </row>
    <row r="152" spans="1:12" x14ac:dyDescent="0.35">
      <c r="A152" s="55"/>
      <c r="B152" s="51"/>
      <c r="C152" s="51"/>
      <c r="D152" s="51"/>
      <c r="E152" s="56"/>
      <c r="F152" s="51"/>
      <c r="G152" s="51"/>
      <c r="H152" s="51"/>
      <c r="I152" s="51"/>
      <c r="J152" s="51"/>
      <c r="K152" s="56"/>
      <c r="L152" s="58"/>
    </row>
    <row r="153" spans="1:12" x14ac:dyDescent="0.35">
      <c r="A153" s="55"/>
      <c r="B153" s="51"/>
      <c r="C153" s="51"/>
      <c r="D153" s="51"/>
      <c r="E153" s="56"/>
      <c r="F153" s="51"/>
      <c r="G153" s="51"/>
      <c r="H153" s="51"/>
      <c r="I153" s="51"/>
      <c r="J153" s="51"/>
      <c r="K153" s="56"/>
      <c r="L153" s="58"/>
    </row>
    <row r="154" spans="1:12" ht="18" thickBot="1" x14ac:dyDescent="0.4">
      <c r="A154" s="59"/>
      <c r="B154" s="60"/>
      <c r="C154" s="60"/>
      <c r="D154" s="60"/>
      <c r="E154" s="61"/>
      <c r="F154" s="60"/>
      <c r="G154" s="60"/>
      <c r="H154" s="60"/>
      <c r="I154" s="60"/>
      <c r="J154" s="60"/>
      <c r="K154" s="61"/>
      <c r="L154" s="62"/>
    </row>
    <row r="156" spans="1:12" ht="18.600000000000001" thickBot="1" x14ac:dyDescent="0.4">
      <c r="A156" s="84" t="s">
        <v>67</v>
      </c>
      <c r="B156" s="84"/>
      <c r="C156" s="84"/>
      <c r="D156" s="84"/>
      <c r="E156" s="84"/>
      <c r="F156" s="84"/>
      <c r="G156" s="84"/>
      <c r="H156" s="84"/>
      <c r="I156" s="84" t="s">
        <v>17</v>
      </c>
      <c r="J156" s="84"/>
      <c r="K156" s="85">
        <v>606</v>
      </c>
      <c r="L156" s="85"/>
    </row>
    <row r="157" spans="1:12" ht="18" thickBot="1" x14ac:dyDescent="0.4">
      <c r="A157" s="63" t="s">
        <v>9</v>
      </c>
      <c r="B157" s="64"/>
      <c r="C157" s="64" t="s">
        <v>10</v>
      </c>
      <c r="D157" s="64" t="s">
        <v>19</v>
      </c>
      <c r="E157" s="86" t="s">
        <v>20</v>
      </c>
      <c r="F157" s="87"/>
      <c r="G157" s="64" t="s">
        <v>9</v>
      </c>
      <c r="H157" s="64"/>
      <c r="I157" s="64" t="s">
        <v>10</v>
      </c>
      <c r="J157" s="64" t="s">
        <v>19</v>
      </c>
      <c r="K157" s="86" t="s">
        <v>21</v>
      </c>
      <c r="L157" s="88"/>
    </row>
    <row r="158" spans="1:12" x14ac:dyDescent="0.35">
      <c r="A158" s="55" t="s">
        <v>34</v>
      </c>
      <c r="B158" s="51">
        <v>4</v>
      </c>
      <c r="C158" s="51"/>
      <c r="D158" s="51">
        <v>10</v>
      </c>
      <c r="E158" s="131">
        <v>790.5</v>
      </c>
      <c r="F158" s="51"/>
      <c r="G158" s="51"/>
      <c r="H158" s="51"/>
      <c r="I158" s="51"/>
      <c r="J158" s="51"/>
      <c r="K158" s="56"/>
      <c r="L158" s="58"/>
    </row>
    <row r="159" spans="1:12" x14ac:dyDescent="0.35">
      <c r="A159" s="55"/>
      <c r="B159" s="51"/>
      <c r="C159" s="51"/>
      <c r="D159" s="51"/>
      <c r="F159" s="51"/>
      <c r="G159" s="51"/>
      <c r="H159" s="51"/>
      <c r="I159" s="51"/>
      <c r="J159" s="51"/>
      <c r="K159" s="56"/>
      <c r="L159" s="58"/>
    </row>
    <row r="160" spans="1:12" x14ac:dyDescent="0.35">
      <c r="A160" s="55"/>
      <c r="B160" s="51"/>
      <c r="C160" s="51"/>
      <c r="D160" s="51"/>
      <c r="E160" s="56"/>
      <c r="F160" s="51"/>
      <c r="G160" s="51"/>
      <c r="H160" s="51"/>
      <c r="I160" s="51"/>
      <c r="J160" s="51"/>
      <c r="K160" s="56"/>
      <c r="L160" s="58"/>
    </row>
    <row r="161" spans="1:12" x14ac:dyDescent="0.35">
      <c r="A161" s="55"/>
      <c r="B161" s="51"/>
      <c r="C161" s="51"/>
      <c r="D161" s="51"/>
      <c r="E161" s="56"/>
      <c r="F161" s="51"/>
      <c r="G161" s="51"/>
      <c r="H161" s="51"/>
      <c r="I161" s="51"/>
      <c r="J161" s="51"/>
      <c r="K161" s="56"/>
      <c r="L161" s="58"/>
    </row>
    <row r="162" spans="1:12" x14ac:dyDescent="0.35">
      <c r="A162" s="55"/>
      <c r="B162" s="51"/>
      <c r="C162" s="51"/>
      <c r="D162" s="51"/>
      <c r="E162" s="56"/>
      <c r="F162" s="51"/>
      <c r="G162" s="51"/>
      <c r="H162" s="51"/>
      <c r="I162" s="51"/>
      <c r="J162" s="51"/>
      <c r="K162" s="56"/>
      <c r="L162" s="58"/>
    </row>
    <row r="163" spans="1:12" x14ac:dyDescent="0.35">
      <c r="A163" s="55"/>
      <c r="B163" s="51"/>
      <c r="C163" s="51"/>
      <c r="D163" s="51"/>
      <c r="E163" s="56"/>
      <c r="F163" s="51"/>
      <c r="G163" s="51"/>
      <c r="H163" s="51"/>
      <c r="I163" s="51"/>
      <c r="J163" s="51"/>
      <c r="K163" s="56"/>
      <c r="L163" s="58"/>
    </row>
    <row r="164" spans="1:12" x14ac:dyDescent="0.35">
      <c r="A164" s="55"/>
      <c r="B164" s="51"/>
      <c r="C164" s="51"/>
      <c r="D164" s="51"/>
      <c r="E164" s="56"/>
      <c r="F164" s="51"/>
      <c r="G164" s="51"/>
      <c r="H164" s="51"/>
      <c r="I164" s="51"/>
      <c r="J164" s="51"/>
      <c r="K164" s="56"/>
      <c r="L164" s="58"/>
    </row>
    <row r="165" spans="1:12" x14ac:dyDescent="0.35">
      <c r="A165" s="55"/>
      <c r="B165" s="51"/>
      <c r="C165" s="51"/>
      <c r="D165" s="51"/>
      <c r="E165" s="56"/>
      <c r="F165" s="51"/>
      <c r="G165" s="51"/>
      <c r="H165" s="51"/>
      <c r="I165" s="51"/>
      <c r="J165" s="51"/>
      <c r="K165" s="56"/>
      <c r="L165" s="58"/>
    </row>
    <row r="166" spans="1:12" ht="18" thickBot="1" x14ac:dyDescent="0.4">
      <c r="A166" s="59"/>
      <c r="B166" s="60"/>
      <c r="C166" s="60"/>
      <c r="D166" s="60"/>
      <c r="E166" s="61"/>
      <c r="F166" s="60"/>
      <c r="G166" s="60"/>
      <c r="H166" s="60"/>
      <c r="I166" s="60"/>
      <c r="J166" s="60"/>
      <c r="K166" s="61"/>
      <c r="L166" s="62"/>
    </row>
    <row r="168" spans="1:12" ht="18.600000000000001" thickBot="1" x14ac:dyDescent="0.4">
      <c r="A168" s="84" t="s">
        <v>51</v>
      </c>
      <c r="B168" s="84"/>
      <c r="C168" s="84"/>
      <c r="D168" s="84"/>
      <c r="E168" s="84"/>
      <c r="F168" s="84"/>
      <c r="G168" s="84"/>
      <c r="H168" s="84"/>
      <c r="I168" s="84" t="s">
        <v>17</v>
      </c>
      <c r="J168" s="84"/>
      <c r="K168" s="85">
        <v>607</v>
      </c>
      <c r="L168" s="85"/>
    </row>
    <row r="169" spans="1:12" ht="18" thickBot="1" x14ac:dyDescent="0.4">
      <c r="A169" s="63" t="s">
        <v>9</v>
      </c>
      <c r="B169" s="64"/>
      <c r="C169" s="64" t="s">
        <v>10</v>
      </c>
      <c r="D169" s="64" t="s">
        <v>19</v>
      </c>
      <c r="E169" s="86" t="s">
        <v>20</v>
      </c>
      <c r="F169" s="87"/>
      <c r="G169" s="64" t="s">
        <v>9</v>
      </c>
      <c r="H169" s="64"/>
      <c r="I169" s="64" t="s">
        <v>10</v>
      </c>
      <c r="J169" s="64" t="s">
        <v>19</v>
      </c>
      <c r="K169" s="86" t="s">
        <v>21</v>
      </c>
      <c r="L169" s="88"/>
    </row>
    <row r="170" spans="1:12" x14ac:dyDescent="0.35">
      <c r="A170" s="55" t="s">
        <v>34</v>
      </c>
      <c r="B170" s="51">
        <v>18</v>
      </c>
      <c r="C170" s="51"/>
      <c r="D170" s="51">
        <v>10</v>
      </c>
      <c r="E170" s="131">
        <v>1800</v>
      </c>
      <c r="F170" s="51"/>
      <c r="G170" s="51"/>
      <c r="H170" s="51"/>
      <c r="I170" s="51"/>
      <c r="J170" s="51"/>
      <c r="K170" s="56"/>
      <c r="L170" s="58"/>
    </row>
    <row r="171" spans="1:12" x14ac:dyDescent="0.35">
      <c r="A171" s="55"/>
      <c r="B171" s="51"/>
      <c r="C171" s="51"/>
      <c r="D171" s="51"/>
      <c r="E171" s="56"/>
      <c r="F171" s="51"/>
      <c r="G171" s="51"/>
      <c r="H171" s="51"/>
      <c r="I171" s="51"/>
      <c r="J171" s="51"/>
      <c r="K171" s="56"/>
      <c r="L171" s="58"/>
    </row>
    <row r="172" spans="1:12" x14ac:dyDescent="0.35">
      <c r="A172" s="55"/>
      <c r="B172" s="51"/>
      <c r="C172" s="51"/>
      <c r="D172" s="51"/>
      <c r="E172" s="56"/>
      <c r="F172" s="51"/>
      <c r="G172" s="51"/>
      <c r="H172" s="51"/>
      <c r="I172" s="51"/>
      <c r="J172" s="51"/>
      <c r="K172" s="56"/>
      <c r="L172" s="58"/>
    </row>
    <row r="173" spans="1:12" x14ac:dyDescent="0.35">
      <c r="A173" s="55"/>
      <c r="B173" s="51"/>
      <c r="C173" s="51"/>
      <c r="D173" s="51"/>
      <c r="E173" s="56"/>
      <c r="F173" s="51"/>
      <c r="G173" s="51"/>
      <c r="H173" s="51"/>
      <c r="I173" s="51"/>
      <c r="J173" s="51"/>
      <c r="K173" s="56"/>
      <c r="L173" s="58"/>
    </row>
    <row r="174" spans="1:12" x14ac:dyDescent="0.35">
      <c r="A174" s="55"/>
      <c r="B174" s="51"/>
      <c r="C174" s="51"/>
      <c r="D174" s="51"/>
      <c r="E174" s="56"/>
      <c r="F174" s="51"/>
      <c r="G174" s="51"/>
      <c r="H174" s="51"/>
      <c r="I174" s="51"/>
      <c r="J174" s="51"/>
      <c r="K174" s="56"/>
      <c r="L174" s="58"/>
    </row>
    <row r="175" spans="1:12" x14ac:dyDescent="0.35">
      <c r="A175" s="55"/>
      <c r="B175" s="51"/>
      <c r="C175" s="51"/>
      <c r="D175" s="51"/>
      <c r="E175" s="56"/>
      <c r="F175" s="51"/>
      <c r="G175" s="51"/>
      <c r="H175" s="51"/>
      <c r="I175" s="51"/>
      <c r="J175" s="51"/>
      <c r="K175" s="56"/>
      <c r="L175" s="58"/>
    </row>
    <row r="176" spans="1:12" x14ac:dyDescent="0.35">
      <c r="A176" s="55"/>
      <c r="B176" s="51"/>
      <c r="C176" s="51"/>
      <c r="D176" s="51"/>
      <c r="E176" s="56"/>
      <c r="F176" s="51"/>
      <c r="G176" s="51"/>
      <c r="H176" s="51"/>
      <c r="I176" s="51"/>
      <c r="J176" s="51"/>
      <c r="K176" s="56"/>
      <c r="L176" s="58"/>
    </row>
    <row r="177" spans="1:12" x14ac:dyDescent="0.35">
      <c r="A177" s="55"/>
      <c r="B177" s="51"/>
      <c r="C177" s="51"/>
      <c r="D177" s="51"/>
      <c r="E177" s="56"/>
      <c r="F177" s="51"/>
      <c r="G177" s="51"/>
      <c r="H177" s="51"/>
      <c r="I177" s="51"/>
      <c r="J177" s="51"/>
      <c r="K177" s="56"/>
      <c r="L177" s="58"/>
    </row>
    <row r="178" spans="1:12" ht="18" thickBot="1" x14ac:dyDescent="0.4">
      <c r="A178" s="59"/>
      <c r="B178" s="60"/>
      <c r="C178" s="60"/>
      <c r="D178" s="60"/>
      <c r="E178" s="61"/>
      <c r="F178" s="60"/>
      <c r="G178" s="60"/>
      <c r="H178" s="60"/>
      <c r="I178" s="60"/>
      <c r="J178" s="60"/>
      <c r="K178" s="61"/>
      <c r="L178" s="62"/>
    </row>
    <row r="180" spans="1:12" ht="18.600000000000001" thickBot="1" x14ac:dyDescent="0.4">
      <c r="A180" s="84" t="s">
        <v>66</v>
      </c>
      <c r="B180" s="84"/>
      <c r="C180" s="84"/>
      <c r="D180" s="84"/>
      <c r="E180" s="84"/>
      <c r="F180" s="84"/>
      <c r="G180" s="84"/>
      <c r="H180" s="84"/>
      <c r="I180" s="84" t="s">
        <v>17</v>
      </c>
      <c r="J180" s="84"/>
      <c r="K180" s="85">
        <v>608</v>
      </c>
      <c r="L180" s="85"/>
    </row>
    <row r="181" spans="1:12" ht="18" thickBot="1" x14ac:dyDescent="0.4">
      <c r="A181" s="63" t="s">
        <v>9</v>
      </c>
      <c r="B181" s="50"/>
      <c r="C181" s="64" t="s">
        <v>10</v>
      </c>
      <c r="D181" s="64" t="s">
        <v>19</v>
      </c>
      <c r="E181" s="86" t="s">
        <v>20</v>
      </c>
      <c r="F181" s="87"/>
      <c r="G181" s="64" t="s">
        <v>9</v>
      </c>
      <c r="H181" s="64"/>
      <c r="I181" s="64" t="s">
        <v>10</v>
      </c>
      <c r="J181" s="64" t="s">
        <v>19</v>
      </c>
      <c r="K181" s="86" t="s">
        <v>21</v>
      </c>
      <c r="L181" s="88"/>
    </row>
    <row r="182" spans="1:12" x14ac:dyDescent="0.35">
      <c r="A182" s="55" t="s">
        <v>34</v>
      </c>
      <c r="B182" s="128">
        <v>3</v>
      </c>
      <c r="C182" s="51"/>
      <c r="D182" s="51">
        <v>10</v>
      </c>
      <c r="E182" s="131">
        <v>875</v>
      </c>
      <c r="F182" s="51"/>
      <c r="G182" s="51"/>
      <c r="H182" s="51"/>
      <c r="I182" s="51"/>
      <c r="J182" s="51"/>
      <c r="K182" s="56"/>
      <c r="L182" s="58"/>
    </row>
    <row r="183" spans="1:12" x14ac:dyDescent="0.35">
      <c r="A183" s="55" t="s">
        <v>34</v>
      </c>
      <c r="B183" s="128">
        <v>4</v>
      </c>
      <c r="C183" s="51"/>
      <c r="D183" s="51">
        <v>10</v>
      </c>
      <c r="E183" s="131">
        <v>59.5</v>
      </c>
      <c r="F183" s="51"/>
      <c r="G183" s="51"/>
      <c r="H183" s="51"/>
      <c r="I183" s="51"/>
      <c r="J183" s="51"/>
      <c r="K183" s="56"/>
      <c r="L183" s="58"/>
    </row>
    <row r="184" spans="1:12" x14ac:dyDescent="0.35">
      <c r="A184" s="55" t="s">
        <v>34</v>
      </c>
      <c r="B184" s="128">
        <v>8</v>
      </c>
      <c r="C184" s="51"/>
      <c r="D184" s="51">
        <v>10</v>
      </c>
      <c r="E184" s="131">
        <v>84</v>
      </c>
      <c r="F184" s="51"/>
      <c r="G184" s="51"/>
      <c r="H184" s="51"/>
      <c r="I184" s="51"/>
      <c r="J184" s="51"/>
      <c r="K184" s="56"/>
      <c r="L184" s="58"/>
    </row>
    <row r="185" spans="1:12" x14ac:dyDescent="0.35">
      <c r="A185" s="55" t="s">
        <v>34</v>
      </c>
      <c r="B185" s="129">
        <v>18</v>
      </c>
      <c r="C185" s="51"/>
      <c r="D185" s="51">
        <v>10</v>
      </c>
      <c r="E185" s="132">
        <v>126</v>
      </c>
      <c r="F185" s="51"/>
      <c r="G185" s="51"/>
      <c r="H185" s="51"/>
      <c r="I185" s="51"/>
      <c r="J185" s="51"/>
      <c r="K185" s="56"/>
      <c r="L185" s="58"/>
    </row>
    <row r="186" spans="1:12" x14ac:dyDescent="0.35">
      <c r="A186" s="55" t="s">
        <v>34</v>
      </c>
      <c r="B186" s="128">
        <v>20</v>
      </c>
      <c r="C186" s="51"/>
      <c r="D186" s="51">
        <v>10</v>
      </c>
      <c r="E186" s="131">
        <v>203</v>
      </c>
      <c r="F186" s="51"/>
      <c r="G186" s="51"/>
      <c r="H186" s="51"/>
      <c r="I186" s="51"/>
      <c r="J186" s="51"/>
      <c r="K186" s="56"/>
      <c r="L186" s="58"/>
    </row>
    <row r="187" spans="1:12" x14ac:dyDescent="0.35">
      <c r="A187" s="55" t="s">
        <v>34</v>
      </c>
      <c r="B187" s="128">
        <v>30</v>
      </c>
      <c r="C187" s="51"/>
      <c r="D187" s="51">
        <v>10</v>
      </c>
      <c r="E187" s="131">
        <v>105</v>
      </c>
      <c r="F187" s="51"/>
      <c r="G187" s="51"/>
      <c r="H187" s="51"/>
      <c r="I187" s="51"/>
      <c r="J187" s="51"/>
      <c r="K187" s="56"/>
      <c r="L187" s="58"/>
    </row>
    <row r="188" spans="1:12" x14ac:dyDescent="0.35">
      <c r="A188" s="55"/>
      <c r="B188" s="51"/>
      <c r="C188" s="51"/>
      <c r="D188" s="51"/>
      <c r="E188" s="56"/>
      <c r="F188" s="51"/>
      <c r="G188" s="51"/>
      <c r="H188" s="51"/>
      <c r="I188" s="51"/>
      <c r="J188" s="51"/>
      <c r="K188" s="56"/>
      <c r="L188" s="58"/>
    </row>
    <row r="189" spans="1:12" x14ac:dyDescent="0.35">
      <c r="A189" s="55"/>
      <c r="B189" s="51"/>
      <c r="C189" s="51"/>
      <c r="D189" s="51"/>
      <c r="E189" s="56"/>
      <c r="F189" s="51"/>
      <c r="G189" s="51"/>
      <c r="H189" s="51"/>
      <c r="I189" s="51"/>
      <c r="J189" s="51"/>
      <c r="K189" s="56"/>
      <c r="L189" s="58"/>
    </row>
    <row r="190" spans="1:12" ht="18" thickBot="1" x14ac:dyDescent="0.4">
      <c r="A190" s="59"/>
      <c r="B190" s="60"/>
      <c r="C190" s="60"/>
      <c r="D190" s="60"/>
      <c r="E190" s="61"/>
      <c r="F190" s="60"/>
      <c r="G190" s="60"/>
      <c r="H190" s="60"/>
      <c r="I190" s="60"/>
      <c r="J190" s="60"/>
      <c r="K190" s="61"/>
      <c r="L190" s="62"/>
    </row>
  </sheetData>
  <mergeCells count="85">
    <mergeCell ref="A180:H180"/>
    <mergeCell ref="I180:J180"/>
    <mergeCell ref="K180:L180"/>
    <mergeCell ref="E181:F181"/>
    <mergeCell ref="K181:L181"/>
    <mergeCell ref="A96:H96"/>
    <mergeCell ref="I96:J96"/>
    <mergeCell ref="K96:L96"/>
    <mergeCell ref="E97:F97"/>
    <mergeCell ref="K97:L97"/>
    <mergeCell ref="A84:H84"/>
    <mergeCell ref="I84:J84"/>
    <mergeCell ref="K84:L84"/>
    <mergeCell ref="E85:F85"/>
    <mergeCell ref="K85:L85"/>
    <mergeCell ref="A72:H72"/>
    <mergeCell ref="I72:J72"/>
    <mergeCell ref="K72:L72"/>
    <mergeCell ref="E73:F73"/>
    <mergeCell ref="K73:L73"/>
    <mergeCell ref="A60:H60"/>
    <mergeCell ref="I60:J60"/>
    <mergeCell ref="K60:L60"/>
    <mergeCell ref="E61:F61"/>
    <mergeCell ref="K61:L61"/>
    <mergeCell ref="A48:H48"/>
    <mergeCell ref="I48:J48"/>
    <mergeCell ref="K48:L48"/>
    <mergeCell ref="E49:F49"/>
    <mergeCell ref="K49:L49"/>
    <mergeCell ref="E4:F4"/>
    <mergeCell ref="K4:L4"/>
    <mergeCell ref="A1:L1"/>
    <mergeCell ref="A13:L13"/>
    <mergeCell ref="I2:J2"/>
    <mergeCell ref="K2:L2"/>
    <mergeCell ref="A2:H2"/>
    <mergeCell ref="A3:H3"/>
    <mergeCell ref="I3:J3"/>
    <mergeCell ref="K3:L3"/>
    <mergeCell ref="A14:H14"/>
    <mergeCell ref="I14:J14"/>
    <mergeCell ref="K14:L14"/>
    <mergeCell ref="E37:F37"/>
    <mergeCell ref="K37:L37"/>
    <mergeCell ref="E15:F15"/>
    <mergeCell ref="K15:L15"/>
    <mergeCell ref="E27:F27"/>
    <mergeCell ref="K27:L27"/>
    <mergeCell ref="A26:H26"/>
    <mergeCell ref="I26:J26"/>
    <mergeCell ref="K26:L26"/>
    <mergeCell ref="A36:H36"/>
    <mergeCell ref="I36:J36"/>
    <mergeCell ref="K36:L36"/>
    <mergeCell ref="A108:H108"/>
    <mergeCell ref="I108:J108"/>
    <mergeCell ref="K108:L108"/>
    <mergeCell ref="E109:F109"/>
    <mergeCell ref="K109:L109"/>
    <mergeCell ref="A120:H120"/>
    <mergeCell ref="I120:J120"/>
    <mergeCell ref="K120:L120"/>
    <mergeCell ref="E121:F121"/>
    <mergeCell ref="K121:L121"/>
    <mergeCell ref="A132:H132"/>
    <mergeCell ref="I132:J132"/>
    <mergeCell ref="K132:L132"/>
    <mergeCell ref="E133:F133"/>
    <mergeCell ref="K133:L133"/>
    <mergeCell ref="A144:H144"/>
    <mergeCell ref="I144:J144"/>
    <mergeCell ref="K144:L144"/>
    <mergeCell ref="E145:F145"/>
    <mergeCell ref="K145:L145"/>
    <mergeCell ref="A156:H156"/>
    <mergeCell ref="I156:J156"/>
    <mergeCell ref="K156:L156"/>
    <mergeCell ref="E157:F157"/>
    <mergeCell ref="K157:L157"/>
    <mergeCell ref="A168:H168"/>
    <mergeCell ref="I168:J168"/>
    <mergeCell ref="K168:L168"/>
    <mergeCell ref="E169:F169"/>
    <mergeCell ref="K169:L169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abSelected="1" zoomScale="85" zoomScaleNormal="85" workbookViewId="0">
      <selection activeCell="F16" sqref="F16"/>
    </sheetView>
  </sheetViews>
  <sheetFormatPr defaultColWidth="10.8984375" defaultRowHeight="18" x14ac:dyDescent="0.35"/>
  <cols>
    <col min="1" max="1" width="37.59765625" style="1" customWidth="1"/>
    <col min="2" max="2" width="23" style="68" customWidth="1"/>
    <col min="3" max="3" width="1.19921875" style="68" customWidth="1"/>
    <col min="4" max="4" width="23" style="68" customWidth="1"/>
    <col min="5" max="16384" width="10.8984375" style="1"/>
  </cols>
  <sheetData>
    <row r="1" spans="1:4" x14ac:dyDescent="0.35">
      <c r="A1" s="102"/>
      <c r="B1" s="102"/>
      <c r="C1" s="102"/>
      <c r="D1" s="102"/>
    </row>
    <row r="2" spans="1:4" x14ac:dyDescent="0.35">
      <c r="A2" s="103" t="s">
        <v>23</v>
      </c>
      <c r="B2" s="103"/>
      <c r="C2" s="103"/>
      <c r="D2" s="103"/>
    </row>
    <row r="3" spans="1:4" x14ac:dyDescent="0.35">
      <c r="A3" s="103" t="s">
        <v>91</v>
      </c>
      <c r="B3" s="103"/>
      <c r="C3" s="103"/>
      <c r="D3" s="103"/>
    </row>
    <row r="4" spans="1:4" x14ac:dyDescent="0.35">
      <c r="A4" s="103" t="s">
        <v>24</v>
      </c>
      <c r="B4" s="103"/>
      <c r="C4" s="103"/>
      <c r="D4" s="103"/>
    </row>
    <row r="5" spans="1:4" x14ac:dyDescent="0.35">
      <c r="A5" s="104"/>
      <c r="B5" s="104"/>
      <c r="C5" s="104"/>
      <c r="D5" s="104"/>
    </row>
    <row r="6" spans="1:4" s="7" customFormat="1" x14ac:dyDescent="0.35">
      <c r="A6" s="9" t="s">
        <v>25</v>
      </c>
      <c r="B6" s="109" t="s">
        <v>4</v>
      </c>
      <c r="C6" s="110"/>
      <c r="D6" s="111" t="s">
        <v>5</v>
      </c>
    </row>
    <row r="7" spans="1:4" x14ac:dyDescent="0.35">
      <c r="A7" s="8" t="s">
        <v>29</v>
      </c>
      <c r="B7" s="112">
        <v>300</v>
      </c>
      <c r="C7" s="113"/>
      <c r="D7" s="114"/>
    </row>
    <row r="8" spans="1:4" x14ac:dyDescent="0.35">
      <c r="A8" s="8" t="s">
        <v>27</v>
      </c>
      <c r="B8" s="112">
        <v>174076</v>
      </c>
      <c r="C8" s="113"/>
      <c r="D8" s="114"/>
    </row>
    <row r="9" spans="1:4" x14ac:dyDescent="0.35">
      <c r="A9" s="8" t="s">
        <v>79</v>
      </c>
      <c r="B9" s="112">
        <v>0</v>
      </c>
      <c r="C9" s="113"/>
      <c r="D9" s="114"/>
    </row>
    <row r="10" spans="1:4" x14ac:dyDescent="0.35">
      <c r="A10" s="8" t="s">
        <v>31</v>
      </c>
      <c r="B10" s="112">
        <v>2900</v>
      </c>
      <c r="C10" s="113"/>
      <c r="D10" s="114"/>
    </row>
    <row r="11" spans="1:4" x14ac:dyDescent="0.35">
      <c r="A11" s="8" t="s">
        <v>30</v>
      </c>
      <c r="B11" s="112">
        <v>12500</v>
      </c>
      <c r="C11" s="113"/>
      <c r="D11" s="114"/>
    </row>
    <row r="12" spans="1:4" x14ac:dyDescent="0.35">
      <c r="A12" s="8" t="s">
        <v>80</v>
      </c>
      <c r="B12" s="112">
        <v>0</v>
      </c>
      <c r="C12" s="113"/>
      <c r="D12" s="114"/>
    </row>
    <row r="13" spans="1:4" x14ac:dyDescent="0.35">
      <c r="A13" s="8" t="s">
        <v>28</v>
      </c>
      <c r="B13" s="112"/>
      <c r="C13" s="113"/>
      <c r="D13" s="114">
        <v>200000</v>
      </c>
    </row>
    <row r="14" spans="1:4" x14ac:dyDescent="0.35">
      <c r="A14" s="8" t="s">
        <v>81</v>
      </c>
      <c r="B14" s="115"/>
      <c r="C14" s="113"/>
      <c r="D14" s="112">
        <v>3500</v>
      </c>
    </row>
    <row r="15" spans="1:4" x14ac:dyDescent="0.35">
      <c r="A15" s="8" t="s">
        <v>49</v>
      </c>
      <c r="B15" s="112">
        <v>6500</v>
      </c>
      <c r="C15" s="113"/>
      <c r="D15" s="114"/>
    </row>
    <row r="16" spans="1:4" x14ac:dyDescent="0.35">
      <c r="A16" s="8" t="s">
        <v>43</v>
      </c>
      <c r="B16" s="112">
        <v>1116</v>
      </c>
      <c r="C16" s="113"/>
      <c r="D16" s="114"/>
    </row>
    <row r="17" spans="1:4" x14ac:dyDescent="0.35">
      <c r="A17" s="8" t="s">
        <v>56</v>
      </c>
      <c r="B17" s="112">
        <v>400</v>
      </c>
      <c r="C17" s="113"/>
      <c r="D17" s="114"/>
    </row>
    <row r="18" spans="1:4" x14ac:dyDescent="0.35">
      <c r="A18" s="8" t="s">
        <v>83</v>
      </c>
      <c r="B18" s="112">
        <v>150</v>
      </c>
      <c r="C18" s="113"/>
      <c r="D18" s="114"/>
    </row>
    <row r="19" spans="1:4" x14ac:dyDescent="0.35">
      <c r="A19" s="8" t="s">
        <v>58</v>
      </c>
      <c r="B19" s="112">
        <v>120</v>
      </c>
      <c r="C19" s="113"/>
      <c r="D19" s="114"/>
    </row>
    <row r="20" spans="1:4" x14ac:dyDescent="0.35">
      <c r="A20" s="8" t="s">
        <v>60</v>
      </c>
      <c r="B20" s="112">
        <v>1395</v>
      </c>
      <c r="C20" s="113"/>
      <c r="D20" s="114"/>
    </row>
    <row r="21" spans="1:4" x14ac:dyDescent="0.35">
      <c r="A21" s="108" t="s">
        <v>67</v>
      </c>
      <c r="B21" s="116">
        <v>790.5</v>
      </c>
      <c r="C21" s="113"/>
      <c r="D21" s="117"/>
    </row>
    <row r="22" spans="1:4" x14ac:dyDescent="0.35">
      <c r="A22" s="107" t="s">
        <v>51</v>
      </c>
      <c r="B22" s="112">
        <v>1800</v>
      </c>
      <c r="C22" s="118"/>
      <c r="D22" s="112"/>
    </row>
    <row r="23" spans="1:4" x14ac:dyDescent="0.35">
      <c r="A23" s="107" t="s">
        <v>66</v>
      </c>
      <c r="B23" s="112">
        <v>1452.5</v>
      </c>
      <c r="C23" s="118"/>
      <c r="D23" s="112"/>
    </row>
    <row r="24" spans="1:4" ht="18.600000000000001" thickBot="1" x14ac:dyDescent="0.4">
      <c r="A24" s="7" t="s">
        <v>26</v>
      </c>
      <c r="B24" s="119">
        <f>SUM(B7:B23)</f>
        <v>203500</v>
      </c>
      <c r="C24" s="120"/>
      <c r="D24" s="119">
        <f>SUM(D12:D21)</f>
        <v>203500</v>
      </c>
    </row>
    <row r="25" spans="1:4" ht="18.600000000000001" thickTop="1" x14ac:dyDescent="0.35"/>
  </sheetData>
  <mergeCells count="6">
    <mergeCell ref="C6:C21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205D1B1ED119499C1AFFE1BB4961D0" ma:contentTypeVersion="8" ma:contentTypeDescription="Crear nuevo documento." ma:contentTypeScope="" ma:versionID="385cd1bbadec32fec22d14b8b459e029">
  <xsd:schema xmlns:xsd="http://www.w3.org/2001/XMLSchema" xmlns:xs="http://www.w3.org/2001/XMLSchema" xmlns:p="http://schemas.microsoft.com/office/2006/metadata/properties" xmlns:ns2="e6a9710b-39be-4c0d-a418-a1689ae80e40" targetNamespace="http://schemas.microsoft.com/office/2006/metadata/properties" ma:root="true" ma:fieldsID="906b0912ef3118d2b3f558d43467e143" ns2:_="">
    <xsd:import namespace="e6a9710b-39be-4c0d-a418-a1689ae80e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9710b-39be-4c0d-a418-a1689ae80e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F1464-70DC-40EC-9643-1B9BBED83215}">
  <ds:schemaRefs>
    <ds:schemaRef ds:uri="http://purl.org/dc/elements/1.1/"/>
    <ds:schemaRef ds:uri="http://purl.org/dc/terms/"/>
    <ds:schemaRef ds:uri="e6a9710b-39be-4c0d-a418-a1689ae80e40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569B51-581D-4F18-88F6-B65390634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a9710b-39be-4c0d-a418-a1689ae80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Enunciados</vt:lpstr>
      <vt:lpstr>DIARIO</vt:lpstr>
      <vt:lpstr>MAYOR</vt:lpstr>
      <vt:lpstr>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Javier Forchiney</cp:lastModifiedBy>
  <cp:revision/>
  <dcterms:created xsi:type="dcterms:W3CDTF">2017-09-19T17:58:02Z</dcterms:created>
  <dcterms:modified xsi:type="dcterms:W3CDTF">2026-05-30T02:37:45Z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0x01010059205D1B1ED119499C1AFFE1BB4961D0</vt:lpwstr>
  </property>
</Properties>
</file>