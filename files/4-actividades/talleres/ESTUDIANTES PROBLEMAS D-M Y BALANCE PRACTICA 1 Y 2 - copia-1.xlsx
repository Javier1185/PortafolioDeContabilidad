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DFVi\Downloads\"/>
    </mc:Choice>
  </mc:AlternateContent>
  <xr:revisionPtr revIDLastSave="0" documentId="8_{9220686C-7149-5B40-8554-2BC5F88B25FF}" xr6:coauthVersionLast="47" xr6:coauthVersionMax="47" xr10:uidLastSave="{00000000-0000-0000-0000-000000000000}"/>
  <bookViews>
    <workbookView xWindow="-108" yWindow="-108" windowWidth="23256" windowHeight="12456" tabRatio="500" firstSheet="1" activeTab="4" xr2:uid="{00000000-000D-0000-FFFF-FFFF00000000}"/>
  </bookViews>
  <sheets>
    <sheet name="PROBLEMA" sheetId="4" r:id="rId1"/>
    <sheet name="DIARIO" sheetId="1" r:id="rId2"/>
    <sheet name="MAYOR" sheetId="2" r:id="rId3"/>
    <sheet name="BALANCE" sheetId="3" r:id="rId4"/>
    <sheet name="PROBLEMA No. 2" sheetId="5" r:id="rId5"/>
    <sheet name="DIARIO (2)" sheetId="6" r:id="rId6"/>
    <sheet name="MAYOR (2)" sheetId="8" r:id="rId7"/>
    <sheet name="BALANCE (2)" sheetId="9" r:id="rId8"/>
  </sheets>
  <calcPr calcId="191028"/>
  <extLst>
    <ext xmlns:x14="http://schemas.microsoft.com/office/spreadsheetml/2009/9/main" uri="{79F54976-1DA5-4618-B147-4CDE4B953A38}">
      <x14:workbookPr defaultImageDpi="32767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4" i="6" l="1"/>
  <c r="R4" i="6"/>
  <c r="N24" i="1"/>
  <c r="R16" i="1"/>
  <c r="H31" i="1"/>
  <c r="H18" i="1"/>
  <c r="I17" i="1"/>
  <c r="H17" i="1"/>
  <c r="H6" i="1"/>
  <c r="D16" i="9"/>
  <c r="B16" i="9"/>
  <c r="D18" i="3"/>
  <c r="B18" i="3"/>
</calcChain>
</file>

<file path=xl/sharedStrings.xml><?xml version="1.0" encoding="utf-8"?>
<sst xmlns="http://schemas.openxmlformats.org/spreadsheetml/2006/main" count="474" uniqueCount="143">
  <si>
    <t>DIARIO</t>
  </si>
  <si>
    <t>CAPITAL</t>
  </si>
  <si>
    <t>DR (Recibe)</t>
  </si>
  <si>
    <t>CR (salidas)</t>
  </si>
  <si>
    <t>DR</t>
  </si>
  <si>
    <t>CR</t>
  </si>
  <si>
    <t>ACTIVOS</t>
  </si>
  <si>
    <t>COSTOS</t>
  </si>
  <si>
    <t>GASTOS</t>
  </si>
  <si>
    <t>FECHA</t>
  </si>
  <si>
    <t>DETALLE</t>
  </si>
  <si>
    <t>REF</t>
  </si>
  <si>
    <t>DR (salidas)</t>
  </si>
  <si>
    <t>CR (Recibe)</t>
  </si>
  <si>
    <t>PASIVO</t>
  </si>
  <si>
    <t>INGRESOS</t>
  </si>
  <si>
    <t>CUENTAS POR PAGAR</t>
  </si>
  <si>
    <t>HOJA DE MAYOR</t>
  </si>
  <si>
    <t xml:space="preserve">No. </t>
  </si>
  <si>
    <t>ACTIVO</t>
  </si>
  <si>
    <t>REF.</t>
  </si>
  <si>
    <t>DÉBITO</t>
  </si>
  <si>
    <t>CRÉDITO</t>
  </si>
  <si>
    <t xml:space="preserve">COSTOS </t>
  </si>
  <si>
    <t>BALANCE DE PRUEBA O COMPROBACIÓN</t>
  </si>
  <si>
    <t>(en Balboas)</t>
  </si>
  <si>
    <t>NOMBRE DE LA CUENTA</t>
  </si>
  <si>
    <t>TOTALES</t>
  </si>
  <si>
    <t>La firma de Contadores HONESTOS, S.A., está ubicada en Calle 50 y 51 C, en Vía Porras y fue fundada por Mabel Gutiérrez, luego de que su padre le dejara una herencia, y luego de haber tenido experiencia como auditora interna en la firma de auditores Ramírez y Ramírez. Las transacciones en mayo, mientras comenzaba el nuevo negocio aparecen a continuación:</t>
  </si>
  <si>
    <t>Pagó los siguientes gastos: sueldos: $2,200 con el cheque del BBVA NO. 3311 y Transporte en efectivo por la suma de B/. 25.00.</t>
  </si>
  <si>
    <t>Realizó informes de contabilidad a Sebastián Moreno, por lo que le recibió $3,000 con el cheque del banco general 1400.</t>
  </si>
  <si>
    <t>Mabel Gutiérrez invirtió $150,000.00, en efectivo para iniciar el negocio.</t>
  </si>
  <si>
    <t>Abre la caja menuda de la empresa, mediante el cheque No. 3310 del banco BBVA, por la suma de B/.200.00</t>
  </si>
  <si>
    <t>Contadores Honestos abre su cuenta bancaria en el Banco BBVA, depositando la suma de $ 100,000.00.</t>
  </si>
  <si>
    <t>Factura servicios de contabilidad a la empresa JOYERIAS Y CADENAS, S.A. por la suma de B/. 2,500.00</t>
  </si>
  <si>
    <t>Compró a crédito en Mueblería y Equipos de Oficina Solís, $1,200.00 (2) silla tipo secretaria (2) escritorios y (1) archivador para la oficina.</t>
  </si>
  <si>
    <t>Realizo un auditoria a la empresa PRODUCTOS PARA EL HOGAR S.A., por lo cual recibió $1,600.00 con el cheque de la Caja de Ahorros 2124.</t>
  </si>
  <si>
    <t xml:space="preserve">Pagó $ 40,000 con el cheque del BBVA, No. 3300 por un edificio donde estará sus oficinas en el futuro. </t>
  </si>
  <si>
    <t>UNIVERSIDAD LATINA DE PANAMÁ</t>
  </si>
  <si>
    <t>EXPLICACIÓN Y CASO (Diario, Mayor y Balance)</t>
  </si>
  <si>
    <t>*1</t>
  </si>
  <si>
    <t>EDIFICIO</t>
  </si>
  <si>
    <t xml:space="preserve">GASTOS - SUELDOS </t>
  </si>
  <si>
    <t>GASTOS - TRANSPORTE</t>
  </si>
  <si>
    <t>Pagó $400.00 con el cheque No. 3320 del BBVA por concepto de cuentas por pagar.</t>
  </si>
  <si>
    <t>TAREA EN CASA (Diario, Mayor y Balance)</t>
  </si>
  <si>
    <t>01 de Marzo</t>
  </si>
  <si>
    <t>Allen Musser inició el negocio de Mantenimiento de Aires Acondicionados, invirtiendo $100,000.00 de sus propios fondos, en El Banco St. Georges Bank.</t>
  </si>
  <si>
    <t>16 de Marzo</t>
  </si>
  <si>
    <t>17 de Marzo</t>
  </si>
  <si>
    <t>18 de Marzo</t>
  </si>
  <si>
    <t>20 de Marzo</t>
  </si>
  <si>
    <t>13 de Marzo</t>
  </si>
  <si>
    <t>30 de Marzo</t>
  </si>
  <si>
    <t>02 de Marzo</t>
  </si>
  <si>
    <t xml:space="preserve">31 de Marzo </t>
  </si>
  <si>
    <t>Musser invierte $7,000.00, en la cochera de su casa, ya que no tiene espacio para ubicar todos los materiales que debe desechar a fin de año.</t>
  </si>
  <si>
    <t>12 de Marzo</t>
  </si>
  <si>
    <t>Musser brindó servicio a un cliente, cuyos aires estaban botando agua y  filtrando las paredes, este trabajo se debía realizar fuera de horarios de oficina, según especificaciones del dueño, quien no quería incomodar a sus clientes, por lo cual se facturó cuentas por cobrar por $2,500.00, que incluían las piezas y la mano de obra de Musser.</t>
  </si>
  <si>
    <t>29 de Marzo</t>
  </si>
  <si>
    <t>Musser retiró $1,100.00 para uso personal, con el cheque 5675 St. Georges Bank.</t>
  </si>
  <si>
    <t>Musser  recibió una factura de teléfono por $120.00 y la pagará la semana entrante.</t>
  </si>
  <si>
    <t>5 de marzo</t>
  </si>
  <si>
    <t>Musser  brindó servicio a Rodríguez-Guardia, S.A. y recibió $3,000.00, con el cheque 3312, de banco universal.</t>
  </si>
  <si>
    <t>Musser  pagó la cuenta del teléfono que había recibido y estaba pendiente, cheque 5681, banco St. Geroges Bank</t>
  </si>
  <si>
    <t>Musser obtuvo ingresos mediante el cheque 2566 del Banco de Boston, porque brindo un servicio de mantenimiento de 20 unidades Split a $125.00 c/u  a FRIGORIFICOS DE PANAMA, S.A.</t>
  </si>
  <si>
    <t>Se paga la quincena de los colaboradores con el cheque No. 5680 del St. Georges Bank</t>
  </si>
  <si>
    <t>Se abre la caja menuda de 200.00, a nombre de Estela Girón (secretaria) con el cheque 5669 St. Georges Bank., para gastos menores.</t>
  </si>
  <si>
    <t xml:space="preserve"> Musser pagó los siguientes gastos: renta de oficina $900.00, sueldos de empleados: $1,200.00 y servicios públicos $75.00., cheque 5670 St. Georges Bank.</t>
  </si>
  <si>
    <t>Musser recibió $1,200.00 en efectivo, pagados por el cliente, facturados el día 12 de marzo.</t>
  </si>
  <si>
    <t>Caja general</t>
  </si>
  <si>
    <t>Mayo</t>
  </si>
  <si>
    <t xml:space="preserve">     Capital</t>
  </si>
  <si>
    <t>Pare registrar inversión inicial del negocio</t>
  </si>
  <si>
    <t>Banco</t>
  </si>
  <si>
    <t xml:space="preserve">    Caja general</t>
  </si>
  <si>
    <t>Deposito de apertura de cuenta de la empresa BBVA</t>
  </si>
  <si>
    <t>Mobiliario</t>
  </si>
  <si>
    <t xml:space="preserve">    cuentas por pagar</t>
  </si>
  <si>
    <t>Para registrar compra a crédito para mobiliario de oficina</t>
  </si>
  <si>
    <t>Edificio</t>
  </si>
  <si>
    <t xml:space="preserve">    Banco</t>
  </si>
  <si>
    <t xml:space="preserve">Para registrar la compra del edificio de la empresa </t>
  </si>
  <si>
    <t xml:space="preserve">   Ingresos-honorario</t>
  </si>
  <si>
    <t>Se registra los honorarios dados a Contadores honestos SA, con el cheque número 1400 del banco BBVA</t>
  </si>
  <si>
    <t>Caja menuda</t>
  </si>
  <si>
    <t xml:space="preserve">   Banco</t>
  </si>
  <si>
    <t>Apertura de la caja menuda con el banco BBVA</t>
  </si>
  <si>
    <t>Para registrar los servicios para la empresa "Productos para el hogar" con el cheque N°2124</t>
  </si>
  <si>
    <t>Cuentas por cobrar</t>
  </si>
  <si>
    <t>Para registrar facturas para la joyeria y cadenas SA.</t>
  </si>
  <si>
    <t>Cuentas por pagar</t>
  </si>
  <si>
    <t>banco</t>
  </si>
  <si>
    <t xml:space="preserve">   Caja Menuda</t>
  </si>
  <si>
    <t>Pago con cheque N° 3320</t>
  </si>
  <si>
    <t>Banco - 110</t>
  </si>
  <si>
    <t>EDIFICIO - 120</t>
  </si>
  <si>
    <t>Mobiliario de oficina - 130</t>
  </si>
  <si>
    <t>CUENTAS POR COBRAR - 112</t>
  </si>
  <si>
    <t>Caja general - 100</t>
  </si>
  <si>
    <t>Cuenta por pagar - 200</t>
  </si>
  <si>
    <t>Capital - 300</t>
  </si>
  <si>
    <t>INGRESOS - HONORARIOS PROFESIONALES - 400</t>
  </si>
  <si>
    <t>GASTOS - SUELDOS - 600</t>
  </si>
  <si>
    <t>GASTOS - TRANSPORTE - 601</t>
  </si>
  <si>
    <t>CAJA MENUDA - 101</t>
  </si>
  <si>
    <t>Gasto - Salario</t>
  </si>
  <si>
    <t>Gastos - Trasporte</t>
  </si>
  <si>
    <t>Pagos de gastos (sueldos y trasporte) por medio del cheque N°3311</t>
  </si>
  <si>
    <t>Javier Forchiney</t>
  </si>
  <si>
    <t>Caja General</t>
  </si>
  <si>
    <t>Caha Menuda</t>
  </si>
  <si>
    <t>Mobiliario de oficina</t>
  </si>
  <si>
    <t>Al 31 de Mayo de 2025</t>
  </si>
  <si>
    <t>cunetas por cobrar</t>
  </si>
  <si>
    <t>cuentas por pagar</t>
  </si>
  <si>
    <t>capital</t>
  </si>
  <si>
    <t>Ingresos - Honorario profesionales</t>
  </si>
  <si>
    <t>Gastos - Salario</t>
  </si>
  <si>
    <t>Gastos - Transporte</t>
  </si>
  <si>
    <t>Capital</t>
  </si>
  <si>
    <t>Detalle</t>
  </si>
  <si>
    <t>Fecha</t>
  </si>
  <si>
    <t>Marzo</t>
  </si>
  <si>
    <t xml:space="preserve">    Capital</t>
  </si>
  <si>
    <t>Para invertir fondos en el negocio de aires acondicionados</t>
  </si>
  <si>
    <t>Gastos - Alquiler</t>
  </si>
  <si>
    <t>Gastos - Salarios</t>
  </si>
  <si>
    <t>Ingresos - Servicios Profesionales</t>
  </si>
  <si>
    <t xml:space="preserve">    Ingresos - servicios profesionales</t>
  </si>
  <si>
    <t>Se recibio un un pago del cheque N°3312 por servicios profesionales prestados</t>
  </si>
  <si>
    <t>Caja Menuda</t>
  </si>
  <si>
    <t>Se abre una cuenta de caja menuda en el banco a nombre de Estela Girón con el cheque N°5669</t>
  </si>
  <si>
    <t>Se realizó servicios de mantenimeintos y recibió el pago por medio del cheque N°2566 por parte FRIGORIFICOS DE PANAMA, S.A.</t>
  </si>
  <si>
    <t xml:space="preserve">    Ingresos </t>
  </si>
  <si>
    <t>Realizo  servicios profesionales cuyos aires estaban goteando, recibio el pago en cuentas por pagar, incluía las piezas y la mano de obra</t>
  </si>
  <si>
    <t>Agua y taza de aseo</t>
  </si>
  <si>
    <t>Gastos - Agua y aseo</t>
  </si>
  <si>
    <t>Se realizó el pago de gastos como salario, servicios publicos y alquiler mediante el cheque N°5670</t>
  </si>
  <si>
    <t>Gastos - Telefono</t>
  </si>
  <si>
    <t>Ingresos Honorarios</t>
  </si>
  <si>
    <t>Gastos Salario</t>
  </si>
  <si>
    <t>Gastos Transporte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</si>
</sst>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(&quot;B/.&quot;\ * #,##0.00_);_(&quot;B/.&quot;\ * \(#,##0.00\);_(&quot;B/.&quot;\ * &quot;-&quot;??_);_(@_)"/>
    <numFmt numFmtId="165" formatCode="0.0"/>
    <numFmt numFmtId="166" formatCode="#,##0.000"/>
    <numFmt numFmtId="167" formatCode="&quot;$&quot;#,##0.00"/>
  </numFmts>
  <fonts count="16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scheme val="minor"/>
    </font>
    <font>
      <sz val="8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scheme val="minor"/>
    </font>
    <font>
      <sz val="12"/>
      <color rgb="FFFF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sz val="12"/>
      <color theme="1"/>
      <name val="Bookman Old Style"/>
      <family val="1"/>
    </font>
    <font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00"/>
        <bgColor indexed="64"/>
      </patternFill>
    </fill>
  </fills>
  <borders count="3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auto="1"/>
      </right>
      <top/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double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43" fontId="15" fillId="0" borderId="0" applyFont="0" applyFill="0" applyBorder="0" applyAlignment="0" applyProtection="0"/>
  </cellStyleXfs>
  <cellXfs count="160">
    <xf numFmtId="0" fontId="0" fillId="0" borderId="0" xfId="0"/>
    <xf numFmtId="0" fontId="2" fillId="0" borderId="0" xfId="0" applyFont="1"/>
    <xf numFmtId="0" fontId="2" fillId="0" borderId="1" xfId="0" applyFont="1" applyBorder="1"/>
    <xf numFmtId="0" fontId="1" fillId="0" borderId="1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" xfId="0" applyBorder="1"/>
    <xf numFmtId="0" fontId="5" fillId="0" borderId="0" xfId="0" applyFont="1"/>
    <xf numFmtId="0" fontId="6" fillId="0" borderId="0" xfId="0" applyFont="1"/>
    <xf numFmtId="0" fontId="3" fillId="0" borderId="0" xfId="0" applyFont="1"/>
    <xf numFmtId="0" fontId="6" fillId="0" borderId="1" xfId="0" applyFont="1" applyBorder="1"/>
    <xf numFmtId="0" fontId="5" fillId="0" borderId="1" xfId="0" applyFont="1" applyBorder="1"/>
    <xf numFmtId="0" fontId="6" fillId="0" borderId="12" xfId="0" applyFont="1" applyBorder="1"/>
    <xf numFmtId="0" fontId="6" fillId="0" borderId="13" xfId="0" applyFont="1" applyBorder="1"/>
    <xf numFmtId="0" fontId="6" fillId="0" borderId="15" xfId="0" applyFont="1" applyBorder="1"/>
    <xf numFmtId="0" fontId="6" fillId="0" borderId="16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0" fontId="2" fillId="0" borderId="18" xfId="0" applyFont="1" applyBorder="1"/>
    <xf numFmtId="0" fontId="2" fillId="0" borderId="19" xfId="0" applyFont="1" applyBorder="1"/>
    <xf numFmtId="0" fontId="3" fillId="0" borderId="23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24" xfId="0" applyFont="1" applyBorder="1" applyAlignment="1">
      <alignment horizontal="center"/>
    </xf>
    <xf numFmtId="4" fontId="0" fillId="0" borderId="0" xfId="0" applyNumberFormat="1"/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left" wrapText="1"/>
    </xf>
    <xf numFmtId="0" fontId="0" fillId="0" borderId="0" xfId="0" applyAlignment="1">
      <alignment horizontal="right"/>
    </xf>
    <xf numFmtId="0" fontId="7" fillId="0" borderId="0" xfId="0" applyFont="1" applyAlignment="1">
      <alignment horizontal="right"/>
    </xf>
    <xf numFmtId="4" fontId="0" fillId="0" borderId="7" xfId="0" applyNumberFormat="1" applyBorder="1"/>
    <xf numFmtId="4" fontId="0" fillId="0" borderId="0" xfId="0" applyNumberFormat="1" applyAlignment="1">
      <alignment horizontal="right"/>
    </xf>
    <xf numFmtId="3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0" xfId="0" applyFont="1" applyAlignment="1">
      <alignment horizontal="right"/>
    </xf>
    <xf numFmtId="0" fontId="1" fillId="0" borderId="0" xfId="0" applyFont="1"/>
    <xf numFmtId="4" fontId="0" fillId="0" borderId="1" xfId="0" applyNumberFormat="1" applyBorder="1"/>
    <xf numFmtId="0" fontId="0" fillId="0" borderId="0" xfId="0" applyAlignment="1">
      <alignment horizontal="right" indent="4"/>
    </xf>
    <xf numFmtId="0" fontId="8" fillId="0" borderId="0" xfId="0" applyFont="1"/>
    <xf numFmtId="0" fontId="11" fillId="0" borderId="0" xfId="0" applyFont="1"/>
    <xf numFmtId="1" fontId="8" fillId="0" borderId="0" xfId="0" applyNumberFormat="1" applyFont="1"/>
    <xf numFmtId="17" fontId="6" fillId="0" borderId="18" xfId="0" applyNumberFormat="1" applyFont="1" applyBorder="1"/>
    <xf numFmtId="4" fontId="2" fillId="0" borderId="1" xfId="0" applyNumberFormat="1" applyFont="1" applyBorder="1"/>
    <xf numFmtId="2" fontId="2" fillId="0" borderId="1" xfId="0" applyNumberFormat="1" applyFont="1" applyBorder="1"/>
    <xf numFmtId="4" fontId="2" fillId="0" borderId="19" xfId="0" applyNumberFormat="1" applyFont="1" applyBorder="1"/>
    <xf numFmtId="164" fontId="8" fillId="0" borderId="32" xfId="0" applyNumberFormat="1" applyFont="1" applyBorder="1"/>
    <xf numFmtId="0" fontId="1" fillId="0" borderId="7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0" fillId="0" borderId="0" xfId="0" applyFont="1" applyAlignment="1">
      <alignment horizontal="center" vertical="center"/>
    </xf>
    <xf numFmtId="0" fontId="1" fillId="0" borderId="10" xfId="0" applyFont="1" applyBorder="1" applyAlignment="1">
      <alignment horizontal="center"/>
    </xf>
    <xf numFmtId="4" fontId="0" fillId="0" borderId="5" xfId="0" applyNumberFormat="1" applyBorder="1"/>
    <xf numFmtId="2" fontId="0" fillId="0" borderId="5" xfId="0" applyNumberFormat="1" applyBorder="1"/>
    <xf numFmtId="0" fontId="0" fillId="0" borderId="7" xfId="0" applyBorder="1"/>
    <xf numFmtId="2" fontId="0" fillId="0" borderId="2" xfId="0" applyNumberFormat="1" applyBorder="1"/>
    <xf numFmtId="4" fontId="1" fillId="0" borderId="27" xfId="0" applyNumberFormat="1" applyFont="1" applyBorder="1"/>
    <xf numFmtId="2" fontId="0" fillId="0" borderId="7" xfId="0" applyNumberFormat="1" applyBorder="1"/>
    <xf numFmtId="2" fontId="0" fillId="0" borderId="9" xfId="0" applyNumberFormat="1" applyBorder="1" applyAlignment="1">
      <alignment horizontal="right"/>
    </xf>
    <xf numFmtId="2" fontId="1" fillId="0" borderId="28" xfId="0" applyNumberFormat="1" applyFont="1" applyBorder="1" applyAlignment="1">
      <alignment horizontal="center"/>
    </xf>
    <xf numFmtId="2" fontId="0" fillId="0" borderId="0" xfId="0" applyNumberFormat="1"/>
    <xf numFmtId="3" fontId="0" fillId="0" borderId="5" xfId="0" applyNumberFormat="1" applyBorder="1"/>
    <xf numFmtId="165" fontId="5" fillId="0" borderId="1" xfId="0" applyNumberFormat="1" applyFont="1" applyBorder="1" applyAlignment="1">
      <alignment horizontal="center"/>
    </xf>
    <xf numFmtId="165" fontId="5" fillId="0" borderId="19" xfId="0" applyNumberFormat="1" applyFont="1" applyBorder="1" applyAlignment="1">
      <alignment horizontal="center"/>
    </xf>
    <xf numFmtId="3" fontId="0" fillId="0" borderId="1" xfId="0" applyNumberFormat="1" applyBorder="1" applyAlignment="1">
      <alignment horizontal="right"/>
    </xf>
    <xf numFmtId="0" fontId="5" fillId="0" borderId="19" xfId="0" applyFont="1" applyBorder="1"/>
    <xf numFmtId="0" fontId="5" fillId="0" borderId="22" xfId="0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0" fillId="2" borderId="1" xfId="0" applyFill="1" applyBorder="1"/>
    <xf numFmtId="16" fontId="12" fillId="3" borderId="0" xfId="0" applyNumberFormat="1" applyFont="1" applyFill="1" applyAlignment="1">
      <alignment horizontal="justify" vertical="center"/>
    </xf>
    <xf numFmtId="0" fontId="12" fillId="3" borderId="0" xfId="0" applyFont="1" applyFill="1" applyAlignment="1">
      <alignment horizontal="justify" vertical="center"/>
    </xf>
    <xf numFmtId="0" fontId="9" fillId="0" borderId="1" xfId="0" applyFont="1" applyBorder="1" applyAlignment="1">
      <alignment horizontal="right"/>
    </xf>
    <xf numFmtId="4" fontId="1" fillId="0" borderId="0" xfId="0" applyNumberFormat="1" applyFont="1"/>
    <xf numFmtId="2" fontId="0" fillId="0" borderId="1" xfId="0" applyNumberFormat="1" applyBorder="1"/>
    <xf numFmtId="166" fontId="0" fillId="0" borderId="1" xfId="0" applyNumberFormat="1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4" fontId="0" fillId="0" borderId="7" xfId="0" applyNumberFormat="1" applyBorder="1" applyAlignment="1">
      <alignment horizontal="right"/>
    </xf>
    <xf numFmtId="0" fontId="0" fillId="0" borderId="1" xfId="0" applyBorder="1" applyAlignment="1">
      <alignment vertical="center" wrapText="1"/>
    </xf>
    <xf numFmtId="0" fontId="14" fillId="0" borderId="1" xfId="0" applyFont="1" applyBorder="1" applyAlignment="1">
      <alignment horizontal="justify" vertical="center"/>
    </xf>
    <xf numFmtId="0" fontId="13" fillId="0" borderId="0" xfId="0" applyFont="1"/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vertical="center"/>
    </xf>
    <xf numFmtId="3" fontId="0" fillId="0" borderId="0" xfId="0" applyNumberFormat="1"/>
    <xf numFmtId="2" fontId="1" fillId="0" borderId="0" xfId="0" applyNumberFormat="1" applyFont="1" applyAlignment="1">
      <alignment horizontal="center"/>
    </xf>
    <xf numFmtId="0" fontId="7" fillId="0" borderId="0" xfId="0" applyFont="1"/>
    <xf numFmtId="0" fontId="3" fillId="0" borderId="0" xfId="0" applyFont="1" applyAlignment="1">
      <alignment horizontal="center" vertical="center"/>
    </xf>
    <xf numFmtId="0" fontId="6" fillId="0" borderId="13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/>
    </xf>
    <xf numFmtId="167" fontId="0" fillId="0" borderId="7" xfId="0" applyNumberFormat="1" applyBorder="1"/>
    <xf numFmtId="167" fontId="0" fillId="0" borderId="5" xfId="0" applyNumberFormat="1" applyBorder="1"/>
    <xf numFmtId="167" fontId="0" fillId="0" borderId="0" xfId="0" applyNumberFormat="1"/>
    <xf numFmtId="43" fontId="0" fillId="0" borderId="7" xfId="1" applyFont="1" applyBorder="1"/>
    <xf numFmtId="43" fontId="0" fillId="0" borderId="1" xfId="1" applyFont="1" applyBorder="1"/>
    <xf numFmtId="2" fontId="0" fillId="0" borderId="2" xfId="0" applyNumberFormat="1" applyBorder="1" applyAlignment="1">
      <alignment horizontal="center"/>
    </xf>
    <xf numFmtId="4" fontId="0" fillId="0" borderId="27" xfId="0" applyNumberFormat="1" applyBorder="1"/>
    <xf numFmtId="4" fontId="1" fillId="0" borderId="0" xfId="0" applyNumberFormat="1" applyFont="1" applyAlignment="1">
      <alignment horizontal="right"/>
    </xf>
    <xf numFmtId="4" fontId="1" fillId="0" borderId="7" xfId="0" applyNumberFormat="1" applyFont="1" applyBorder="1"/>
    <xf numFmtId="167" fontId="1" fillId="0" borderId="0" xfId="0" applyNumberFormat="1" applyFont="1"/>
    <xf numFmtId="2" fontId="1" fillId="0" borderId="0" xfId="0" applyNumberFormat="1" applyFont="1"/>
    <xf numFmtId="43" fontId="1" fillId="0" borderId="0" xfId="1" applyFont="1"/>
    <xf numFmtId="43" fontId="1" fillId="0" borderId="7" xfId="1" applyFont="1" applyBorder="1"/>
    <xf numFmtId="43" fontId="2" fillId="0" borderId="1" xfId="1" applyFont="1" applyBorder="1"/>
    <xf numFmtId="165" fontId="2" fillId="0" borderId="1" xfId="0" applyNumberFormat="1" applyFont="1" applyBorder="1"/>
    <xf numFmtId="0" fontId="14" fillId="4" borderId="1" xfId="0" applyFont="1" applyFill="1" applyBorder="1" applyAlignment="1">
      <alignment horizontal="justify" vertical="center"/>
    </xf>
    <xf numFmtId="43" fontId="0" fillId="0" borderId="0" xfId="1" applyFont="1"/>
    <xf numFmtId="43" fontId="15" fillId="0" borderId="7" xfId="1" applyFont="1" applyBorder="1" applyAlignment="1">
      <alignment horizontal="center"/>
    </xf>
    <xf numFmtId="0" fontId="0" fillId="0" borderId="33" xfId="0" applyFill="1" applyBorder="1"/>
    <xf numFmtId="0" fontId="1" fillId="0" borderId="11" xfId="0" applyFont="1" applyBorder="1" applyAlignment="1">
      <alignment horizontal="center" vertical="center"/>
    </xf>
    <xf numFmtId="0" fontId="0" fillId="0" borderId="11" xfId="0" applyBorder="1"/>
    <xf numFmtId="4" fontId="0" fillId="0" borderId="11" xfId="0" applyNumberFormat="1" applyBorder="1"/>
    <xf numFmtId="3" fontId="0" fillId="0" borderId="0" xfId="0" applyNumberFormat="1" applyAlignment="1">
      <alignment horizontal="right"/>
    </xf>
    <xf numFmtId="165" fontId="0" fillId="0" borderId="7" xfId="0" applyNumberFormat="1" applyBorder="1"/>
    <xf numFmtId="165" fontId="0" fillId="0" borderId="1" xfId="0" applyNumberFormat="1" applyBorder="1"/>
    <xf numFmtId="3" fontId="0" fillId="0" borderId="0" xfId="0" applyNumberFormat="1" applyFill="1" applyBorder="1"/>
    <xf numFmtId="43" fontId="5" fillId="0" borderId="1" xfId="1" applyFont="1" applyBorder="1"/>
    <xf numFmtId="0" fontId="5" fillId="0" borderId="1" xfId="0" applyFont="1" applyBorder="1"/>
    <xf numFmtId="0" fontId="5" fillId="0" borderId="18" xfId="0" applyFont="1" applyBorder="1"/>
    <xf numFmtId="0" fontId="5" fillId="0" borderId="20" xfId="0" applyFont="1" applyBorder="1"/>
    <xf numFmtId="0" fontId="5" fillId="0" borderId="21" xfId="0" applyFont="1" applyBorder="1"/>
    <xf numFmtId="4" fontId="5" fillId="0" borderId="1" xfId="0" applyNumberFormat="1" applyFont="1" applyBorder="1"/>
    <xf numFmtId="2" fontId="5" fillId="0" borderId="1" xfId="0" applyNumberFormat="1" applyFont="1" applyBorder="1"/>
    <xf numFmtId="0" fontId="13" fillId="0" borderId="1" xfId="0" applyFont="1" applyBorder="1" applyAlignment="1">
      <alignment horizontal="center"/>
    </xf>
    <xf numFmtId="0" fontId="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 wrapText="1"/>
    </xf>
    <xf numFmtId="0" fontId="13" fillId="0" borderId="0" xfId="0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9" fillId="0" borderId="4" xfId="0" applyFont="1" applyBorder="1" applyAlignment="1">
      <alignment horizontal="center"/>
    </xf>
    <xf numFmtId="0" fontId="9" fillId="0" borderId="3" xfId="0" applyFont="1" applyBorder="1" applyAlignment="1">
      <alignment horizontal="center"/>
    </xf>
    <xf numFmtId="0" fontId="9" fillId="0" borderId="5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5" xfId="0" applyFont="1" applyBorder="1" applyAlignment="1">
      <alignment horizontal="center" vertical="center"/>
    </xf>
    <xf numFmtId="0" fontId="1" fillId="0" borderId="26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0" borderId="2" xfId="0" applyBorder="1" applyAlignment="1">
      <alignment horizontal="center"/>
    </xf>
    <xf numFmtId="0" fontId="8" fillId="0" borderId="6" xfId="0" applyFont="1" applyBorder="1" applyAlignment="1">
      <alignment horizontal="center"/>
    </xf>
    <xf numFmtId="0" fontId="8" fillId="0" borderId="0" xfId="0" applyFont="1" applyAlignment="1">
      <alignment horizontal="center"/>
    </xf>
    <xf numFmtId="0" fontId="1" fillId="0" borderId="6" xfId="0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6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2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3" fillId="0" borderId="31" xfId="0" applyFont="1" applyBorder="1" applyAlignment="1">
      <alignment horizontal="center"/>
    </xf>
    <xf numFmtId="0" fontId="3" fillId="0" borderId="33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6" fillId="0" borderId="16" xfId="0" applyFont="1" applyBorder="1" applyAlignment="1">
      <alignment horizontal="center"/>
    </xf>
    <xf numFmtId="0" fontId="6" fillId="0" borderId="17" xfId="0" applyFont="1" applyBorder="1" applyAlignment="1">
      <alignment horizontal="center"/>
    </xf>
    <xf numFmtId="0" fontId="3" fillId="0" borderId="25" xfId="0" applyFont="1" applyBorder="1" applyAlignment="1">
      <alignment horizontal="center" vertical="center"/>
    </xf>
    <xf numFmtId="0" fontId="3" fillId="0" borderId="26" xfId="0" applyFont="1" applyBorder="1" applyAlignment="1">
      <alignment horizontal="center" vertical="center"/>
    </xf>
    <xf numFmtId="0" fontId="5" fillId="0" borderId="9" xfId="0" applyFont="1" applyBorder="1" applyAlignment="1">
      <alignment horizontal="center"/>
    </xf>
    <xf numFmtId="0" fontId="6" fillId="0" borderId="13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3" fillId="0" borderId="0" xfId="0" applyFont="1" applyAlignment="1">
      <alignment horizontal="center" vertical="center"/>
    </xf>
  </cellXfs>
  <cellStyles count="2">
    <cellStyle name="Millares" xfId="1" builtinId="3"/>
    <cellStyle name="Normal" xfId="0" builtinId="0"/>
  </cellStyles>
  <dxfs count="0"/>
  <tableStyles count="0" defaultTableStyle="TableStyleMedium9" defaultPivotStyle="PivotStyleMedium7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ustomXml" Target="../customXml/item1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calcChain" Target="calcChain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customXml" Target="../customXml/item3.xml" /><Relationship Id="rId10" Type="http://schemas.openxmlformats.org/officeDocument/2006/relationships/styles" Target="styles.xml" /><Relationship Id="rId4" Type="http://schemas.openxmlformats.org/officeDocument/2006/relationships/worksheet" Target="worksheets/sheet4.xml" /><Relationship Id="rId9" Type="http://schemas.openxmlformats.org/officeDocument/2006/relationships/theme" Target="theme/theme1.xml" /><Relationship Id="rId14" Type="http://schemas.openxmlformats.org/officeDocument/2006/relationships/customXml" Target="../customXml/item2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2" name="Flecha: hacia arriba 1">
          <a:extLst>
            <a:ext uri="{FF2B5EF4-FFF2-40B4-BE49-F238E27FC236}">
              <a16:creationId xmlns:a16="http://schemas.microsoft.com/office/drawing/2014/main" id="{D9C5EE82-9B55-4D20-AA9B-7C30417B01F8}"/>
            </a:ext>
          </a:extLst>
        </xdr:cNvPr>
        <xdr:cNvSpPr/>
      </xdr:nvSpPr>
      <xdr:spPr>
        <a:xfrm>
          <a:off x="17430750" y="333375"/>
          <a:ext cx="285750" cy="96202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3" name="Flecha: hacia arriba 2">
          <a:extLst>
            <a:ext uri="{FF2B5EF4-FFF2-40B4-BE49-F238E27FC236}">
              <a16:creationId xmlns:a16="http://schemas.microsoft.com/office/drawing/2014/main" id="{106A2C08-C805-44DE-A04C-10E6C756E00D}"/>
            </a:ext>
          </a:extLst>
        </xdr:cNvPr>
        <xdr:cNvSpPr/>
      </xdr:nvSpPr>
      <xdr:spPr>
        <a:xfrm rot="10800000">
          <a:off x="18402300" y="314325"/>
          <a:ext cx="285750" cy="962025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4" name="Flecha: hacia arriba 3">
          <a:extLst>
            <a:ext uri="{FF2B5EF4-FFF2-40B4-BE49-F238E27FC236}">
              <a16:creationId xmlns:a16="http://schemas.microsoft.com/office/drawing/2014/main" id="{83B717E0-5F90-45B9-8956-3AD1F3B91150}"/>
            </a:ext>
          </a:extLst>
        </xdr:cNvPr>
        <xdr:cNvSpPr/>
      </xdr:nvSpPr>
      <xdr:spPr>
        <a:xfrm>
          <a:off x="17773650" y="1933575"/>
          <a:ext cx="285750" cy="904875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5" name="Flecha: hacia arriba 4">
          <a:extLst>
            <a:ext uri="{FF2B5EF4-FFF2-40B4-BE49-F238E27FC236}">
              <a16:creationId xmlns:a16="http://schemas.microsoft.com/office/drawing/2014/main" id="{B1FA9179-3F1C-4438-8186-8E0710173E08}"/>
            </a:ext>
          </a:extLst>
        </xdr:cNvPr>
        <xdr:cNvSpPr/>
      </xdr:nvSpPr>
      <xdr:spPr>
        <a:xfrm rot="10800000">
          <a:off x="16525875" y="1885950"/>
          <a:ext cx="257175" cy="93345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523875</xdr:colOff>
      <xdr:row>1</xdr:row>
      <xdr:rowOff>19050</xdr:rowOff>
    </xdr:from>
    <xdr:to>
      <xdr:col>23</xdr:col>
      <xdr:colOff>809625</xdr:colOff>
      <xdr:row>4</xdr:row>
      <xdr:rowOff>38100</xdr:rowOff>
    </xdr:to>
    <xdr:sp macro="" textlink="">
      <xdr:nvSpPr>
        <xdr:cNvPr id="6" name="Flecha: hacia arriba 5">
          <a:extLst>
            <a:ext uri="{FF2B5EF4-FFF2-40B4-BE49-F238E27FC236}">
              <a16:creationId xmlns:a16="http://schemas.microsoft.com/office/drawing/2014/main" id="{0039A206-5B60-43ED-A3D4-A7BD46F639E5}"/>
            </a:ext>
          </a:extLst>
        </xdr:cNvPr>
        <xdr:cNvSpPr/>
      </xdr:nvSpPr>
      <xdr:spPr>
        <a:xfrm>
          <a:off x="21040725" y="330200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24</xdr:col>
      <xdr:colOff>228600</xdr:colOff>
      <xdr:row>1</xdr:row>
      <xdr:rowOff>0</xdr:rowOff>
    </xdr:from>
    <xdr:to>
      <xdr:col>24</xdr:col>
      <xdr:colOff>514350</xdr:colOff>
      <xdr:row>4</xdr:row>
      <xdr:rowOff>19050</xdr:rowOff>
    </xdr:to>
    <xdr:sp macro="" textlink="">
      <xdr:nvSpPr>
        <xdr:cNvPr id="7" name="Flecha: hacia arriba 6">
          <a:extLst>
            <a:ext uri="{FF2B5EF4-FFF2-40B4-BE49-F238E27FC236}">
              <a16:creationId xmlns:a16="http://schemas.microsoft.com/office/drawing/2014/main" id="{18763786-B0DE-45F5-81EC-B68D68DF82E2}"/>
            </a:ext>
          </a:extLst>
        </xdr:cNvPr>
        <xdr:cNvSpPr/>
      </xdr:nvSpPr>
      <xdr:spPr>
        <a:xfrm rot="10800000">
          <a:off x="22009100" y="311150"/>
          <a:ext cx="285750" cy="9525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  <xdr:twoCellAnchor>
    <xdr:from>
      <xdr:col>24</xdr:col>
      <xdr:colOff>447675</xdr:colOff>
      <xdr:row>6</xdr:row>
      <xdr:rowOff>47625</xdr:rowOff>
    </xdr:from>
    <xdr:to>
      <xdr:col>24</xdr:col>
      <xdr:colOff>733425</xdr:colOff>
      <xdr:row>9</xdr:row>
      <xdr:rowOff>9525</xdr:rowOff>
    </xdr:to>
    <xdr:sp macro="" textlink="">
      <xdr:nvSpPr>
        <xdr:cNvPr id="8" name="Flecha: hacia arriba 7">
          <a:extLst>
            <a:ext uri="{FF2B5EF4-FFF2-40B4-BE49-F238E27FC236}">
              <a16:creationId xmlns:a16="http://schemas.microsoft.com/office/drawing/2014/main" id="{C474AA7F-D697-4679-9B18-73740CC21E3F}"/>
            </a:ext>
          </a:extLst>
        </xdr:cNvPr>
        <xdr:cNvSpPr/>
      </xdr:nvSpPr>
      <xdr:spPr>
        <a:xfrm>
          <a:off x="22228175" y="1914525"/>
          <a:ext cx="285750" cy="952500"/>
        </a:xfrm>
        <a:prstGeom prst="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/>
        </a:p>
      </xdr:txBody>
    </xdr:sp>
    <xdr:clientData/>
  </xdr:twoCellAnchor>
  <xdr:twoCellAnchor>
    <xdr:from>
      <xdr:col>23</xdr:col>
      <xdr:colOff>466725</xdr:colOff>
      <xdr:row>6</xdr:row>
      <xdr:rowOff>0</xdr:rowOff>
    </xdr:from>
    <xdr:to>
      <xdr:col>23</xdr:col>
      <xdr:colOff>723900</xdr:colOff>
      <xdr:row>8</xdr:row>
      <xdr:rowOff>304800</xdr:rowOff>
    </xdr:to>
    <xdr:sp macro="" textlink="">
      <xdr:nvSpPr>
        <xdr:cNvPr id="9" name="Flecha: hacia arriba 8">
          <a:extLst>
            <a:ext uri="{FF2B5EF4-FFF2-40B4-BE49-F238E27FC236}">
              <a16:creationId xmlns:a16="http://schemas.microsoft.com/office/drawing/2014/main" id="{4F6C7936-8515-4DDA-93F8-702F3587BD00}"/>
            </a:ext>
          </a:extLst>
        </xdr:cNvPr>
        <xdr:cNvSpPr/>
      </xdr:nvSpPr>
      <xdr:spPr>
        <a:xfrm rot="10800000">
          <a:off x="20983575" y="1866900"/>
          <a:ext cx="257175" cy="927100"/>
        </a:xfrm>
        <a:prstGeom prst="upArrow">
          <a:avLst/>
        </a:prstGeom>
        <a:solidFill>
          <a:srgbClr val="C00000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A" sz="1100">
            <a:solidFill>
              <a:srgbClr val="C00000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DengXian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DengXian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 /><Relationship Id="rId1" Type="http://schemas.openxmlformats.org/officeDocument/2006/relationships/printerSettings" Target="../printerSettings/printerSettings1.bin" 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 /><Relationship Id="rId1" Type="http://schemas.openxmlformats.org/officeDocument/2006/relationships/printerSettings" Target="../printerSettings/printerSettings2.bin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94128A-1145-43F3-954D-8C5880FC427D}">
  <dimension ref="A1:J13"/>
  <sheetViews>
    <sheetView topLeftCell="A3" workbookViewId="0">
      <selection activeCell="B12" sqref="B12"/>
    </sheetView>
  </sheetViews>
  <sheetFormatPr defaultColWidth="11.21875" defaultRowHeight="15" x14ac:dyDescent="0.2"/>
  <cols>
    <col min="2" max="2" width="81.140625" customWidth="1"/>
    <col min="5" max="5" width="14.0546875" customWidth="1"/>
  </cols>
  <sheetData>
    <row r="1" spans="1:10" ht="21" customHeight="1" x14ac:dyDescent="0.2">
      <c r="A1" s="125" t="s">
        <v>38</v>
      </c>
      <c r="B1" s="125"/>
    </row>
    <row r="2" spans="1:10" ht="18" x14ac:dyDescent="0.2">
      <c r="A2" s="125" t="s">
        <v>39</v>
      </c>
      <c r="B2" s="125"/>
    </row>
    <row r="3" spans="1:10" ht="90.75" customHeight="1" x14ac:dyDescent="0.2">
      <c r="A3" s="124" t="s">
        <v>28</v>
      </c>
      <c r="B3" s="124"/>
      <c r="F3" s="80"/>
      <c r="G3" s="80"/>
      <c r="H3" s="80"/>
      <c r="I3" s="80"/>
      <c r="J3" s="80"/>
    </row>
    <row r="4" spans="1:10" ht="31.5" x14ac:dyDescent="0.2">
      <c r="A4" s="67">
        <v>45443</v>
      </c>
      <c r="B4" s="68" t="s">
        <v>29</v>
      </c>
      <c r="F4" s="126"/>
      <c r="G4" s="126"/>
      <c r="H4" s="126"/>
      <c r="I4" s="126"/>
      <c r="J4" s="126"/>
    </row>
    <row r="5" spans="1:10" ht="31.5" x14ac:dyDescent="0.2">
      <c r="A5" s="67">
        <v>45418</v>
      </c>
      <c r="B5" s="68" t="s">
        <v>30</v>
      </c>
      <c r="F5" s="123"/>
      <c r="G5" s="123"/>
      <c r="H5" s="123"/>
      <c r="I5" s="123"/>
      <c r="J5" s="123"/>
    </row>
    <row r="6" spans="1:10" ht="18" x14ac:dyDescent="0.2">
      <c r="A6" s="67">
        <v>45413</v>
      </c>
      <c r="B6" s="68" t="s">
        <v>31</v>
      </c>
    </row>
    <row r="7" spans="1:10" ht="31.5" x14ac:dyDescent="0.2">
      <c r="A7" s="67">
        <v>45422</v>
      </c>
      <c r="B7" s="68" t="s">
        <v>32</v>
      </c>
    </row>
    <row r="8" spans="1:10" ht="31.5" x14ac:dyDescent="0.2">
      <c r="A8" s="67">
        <v>45415</v>
      </c>
      <c r="B8" s="68" t="s">
        <v>33</v>
      </c>
    </row>
    <row r="9" spans="1:10" ht="31.5" x14ac:dyDescent="0.2">
      <c r="A9" s="67">
        <v>45431</v>
      </c>
      <c r="B9" s="68" t="s">
        <v>34</v>
      </c>
    </row>
    <row r="10" spans="1:10" ht="31.5" x14ac:dyDescent="0.2">
      <c r="A10" s="67">
        <v>45416</v>
      </c>
      <c r="B10" s="68" t="s">
        <v>35</v>
      </c>
      <c r="D10" s="123"/>
      <c r="E10" s="123"/>
      <c r="F10" s="123"/>
      <c r="G10" s="123"/>
      <c r="H10" s="123"/>
    </row>
    <row r="11" spans="1:10" ht="31.5" x14ac:dyDescent="0.2">
      <c r="A11" s="67">
        <v>45429</v>
      </c>
      <c r="B11" s="68" t="s">
        <v>36</v>
      </c>
    </row>
    <row r="12" spans="1:10" ht="18" x14ac:dyDescent="0.2">
      <c r="A12" s="67">
        <v>45435</v>
      </c>
      <c r="B12" s="68" t="s">
        <v>44</v>
      </c>
    </row>
    <row r="13" spans="1:10" ht="31.5" x14ac:dyDescent="0.2">
      <c r="A13" s="67">
        <v>45417</v>
      </c>
      <c r="B13" s="68" t="s">
        <v>37</v>
      </c>
    </row>
  </sheetData>
  <mergeCells count="7">
    <mergeCell ref="D10:E10"/>
    <mergeCell ref="F10:H10"/>
    <mergeCell ref="A3:B3"/>
    <mergeCell ref="A1:B1"/>
    <mergeCell ref="A2:B2"/>
    <mergeCell ref="F4:J4"/>
    <mergeCell ref="F5:J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40"/>
  <sheetViews>
    <sheetView topLeftCell="A17" zoomScale="56" workbookViewId="0">
      <selection activeCell="M19" sqref="M19:N19"/>
    </sheetView>
  </sheetViews>
  <sheetFormatPr defaultColWidth="10.8515625" defaultRowHeight="24.95" customHeight="1" x14ac:dyDescent="0.2"/>
  <cols>
    <col min="1" max="1" width="13.0703125" style="24" customWidth="1"/>
    <col min="2" max="2" width="5.0546875" style="24" customWidth="1"/>
    <col min="3" max="3" width="37.484375" customWidth="1"/>
    <col min="4" max="4" width="6.53515625" customWidth="1"/>
    <col min="5" max="5" width="17.38671875" customWidth="1"/>
    <col min="6" max="6" width="18.6171875" customWidth="1"/>
    <col min="7" max="7" width="10.8515625" style="27"/>
    <col min="8" max="8" width="14.91796875" customWidth="1"/>
    <col min="9" max="9" width="18.125" customWidth="1"/>
    <col min="10" max="10" width="5.671875" customWidth="1"/>
    <col min="11" max="11" width="4.4375" customWidth="1"/>
    <col min="12" max="12" width="5.546875" customWidth="1"/>
    <col min="13" max="13" width="14.671875" customWidth="1"/>
    <col min="14" max="14" width="21.453125" customWidth="1"/>
    <col min="15" max="16" width="6.0390625" customWidth="1"/>
    <col min="17" max="17" width="9.125" customWidth="1"/>
    <col min="18" max="18" width="14.55078125" customWidth="1"/>
    <col min="19" max="19" width="10.8515625" customWidth="1"/>
    <col min="20" max="21" width="6.0390625" customWidth="1"/>
    <col min="22" max="22" width="5.91796875" customWidth="1"/>
    <col min="24" max="24" width="16.64453125" customWidth="1"/>
    <col min="25" max="25" width="14.1796875" customWidth="1"/>
  </cols>
  <sheetData>
    <row r="1" spans="1:25" ht="24.95" customHeight="1" x14ac:dyDescent="0.3">
      <c r="A1" s="127" t="s">
        <v>0</v>
      </c>
      <c r="B1" s="128"/>
      <c r="C1" s="128"/>
      <c r="D1" s="128"/>
      <c r="E1" s="129"/>
      <c r="F1" s="69" t="s">
        <v>40</v>
      </c>
      <c r="H1" s="130" t="s">
        <v>99</v>
      </c>
      <c r="I1" s="130"/>
      <c r="J1" s="4"/>
      <c r="K1" s="4"/>
      <c r="M1" s="130" t="s">
        <v>101</v>
      </c>
      <c r="N1" s="130"/>
      <c r="O1" s="47"/>
      <c r="P1" s="4"/>
      <c r="Q1" s="130"/>
      <c r="R1" s="130"/>
      <c r="S1" s="47"/>
      <c r="T1" s="4"/>
      <c r="U1" s="4"/>
      <c r="X1" s="4" t="s">
        <v>2</v>
      </c>
      <c r="Y1" s="34" t="s">
        <v>3</v>
      </c>
    </row>
    <row r="2" spans="1:25" ht="24.95" customHeight="1" x14ac:dyDescent="0.25">
      <c r="A2" s="136"/>
      <c r="B2" s="137"/>
      <c r="C2" s="137"/>
      <c r="D2" s="137"/>
      <c r="E2" s="137"/>
      <c r="F2" s="137"/>
      <c r="H2" s="48" t="s">
        <v>4</v>
      </c>
      <c r="I2" s="48" t="s">
        <v>5</v>
      </c>
      <c r="J2" s="4"/>
      <c r="K2" s="4"/>
      <c r="L2" s="24"/>
      <c r="M2" s="48" t="s">
        <v>4</v>
      </c>
      <c r="N2" s="48" t="s">
        <v>5</v>
      </c>
      <c r="O2" s="4"/>
      <c r="P2" s="4"/>
      <c r="Q2" s="48" t="s">
        <v>4</v>
      </c>
      <c r="R2" s="48" t="s">
        <v>5</v>
      </c>
      <c r="S2" s="4"/>
      <c r="T2" s="4"/>
      <c r="U2" s="4"/>
      <c r="W2" s="34" t="s">
        <v>6</v>
      </c>
    </row>
    <row r="3" spans="1:25" ht="24.95" customHeight="1" x14ac:dyDescent="0.2">
      <c r="A3" s="138" t="s">
        <v>109</v>
      </c>
      <c r="B3" s="131"/>
      <c r="C3" s="131"/>
      <c r="D3" s="131"/>
      <c r="E3" s="131"/>
      <c r="F3" s="131"/>
      <c r="G3" s="27">
        <v>1</v>
      </c>
      <c r="H3" s="90">
        <v>150000</v>
      </c>
      <c r="I3" s="23">
        <v>100000</v>
      </c>
      <c r="J3">
        <v>3</v>
      </c>
      <c r="K3" s="23"/>
      <c r="L3" s="24"/>
      <c r="M3" s="49"/>
      <c r="N3" s="91">
        <v>150000</v>
      </c>
      <c r="O3">
        <v>1</v>
      </c>
      <c r="P3" s="27"/>
      <c r="Q3" s="50"/>
      <c r="R3" s="29"/>
      <c r="S3" s="27"/>
      <c r="T3" s="27"/>
      <c r="U3" s="27"/>
      <c r="W3" s="34" t="s">
        <v>7</v>
      </c>
    </row>
    <row r="4" spans="1:25" ht="24.95" customHeight="1" x14ac:dyDescent="0.2">
      <c r="A4" s="134"/>
      <c r="B4" s="135"/>
      <c r="C4" s="135"/>
      <c r="D4" s="135"/>
      <c r="E4" s="135"/>
      <c r="F4" s="135"/>
      <c r="H4" s="51"/>
      <c r="K4" s="23"/>
      <c r="M4" s="49"/>
      <c r="Q4" s="51"/>
      <c r="V4" s="28"/>
      <c r="W4" s="34" t="s">
        <v>8</v>
      </c>
    </row>
    <row r="5" spans="1:25" s="4" customFormat="1" ht="24.95" customHeight="1" x14ac:dyDescent="0.2">
      <c r="A5" s="139" t="s">
        <v>9</v>
      </c>
      <c r="B5" s="140"/>
      <c r="C5" s="3" t="s">
        <v>10</v>
      </c>
      <c r="D5" s="3" t="s">
        <v>11</v>
      </c>
      <c r="E5" s="3" t="s">
        <v>4</v>
      </c>
      <c r="F5" s="3" t="s">
        <v>5</v>
      </c>
      <c r="G5" s="33"/>
      <c r="H5" s="45"/>
      <c r="I5" s="30"/>
      <c r="J5" s="30"/>
      <c r="K5" s="30"/>
      <c r="M5" s="75"/>
      <c r="N5" s="30"/>
      <c r="P5" s="30"/>
      <c r="Q5" s="45"/>
      <c r="R5" s="30"/>
      <c r="S5" s="30"/>
      <c r="T5" s="30"/>
      <c r="U5" s="30"/>
      <c r="V5" s="33"/>
    </row>
    <row r="6" spans="1:25" ht="24.95" customHeight="1" x14ac:dyDescent="0.2">
      <c r="A6" s="132"/>
      <c r="B6" s="133"/>
      <c r="C6" s="66"/>
      <c r="D6" s="66"/>
      <c r="E6" s="66"/>
      <c r="F6" s="66"/>
      <c r="H6" s="101">
        <f>H3-I3</f>
        <v>50000</v>
      </c>
      <c r="I6" s="52"/>
      <c r="J6" s="57"/>
      <c r="K6" s="57"/>
      <c r="M6" s="51"/>
      <c r="N6" s="100">
        <v>150000</v>
      </c>
      <c r="Q6" s="51"/>
      <c r="V6" s="27"/>
      <c r="X6" s="34" t="s">
        <v>12</v>
      </c>
      <c r="Y6" s="4" t="s">
        <v>13</v>
      </c>
    </row>
    <row r="7" spans="1:25" ht="24.95" customHeight="1" thickBot="1" x14ac:dyDescent="0.25">
      <c r="A7" s="3" t="s">
        <v>71</v>
      </c>
      <c r="B7" s="3">
        <v>1</v>
      </c>
      <c r="C7" s="5" t="s">
        <v>70</v>
      </c>
      <c r="D7" s="5">
        <v>100</v>
      </c>
      <c r="E7" s="35">
        <v>150000</v>
      </c>
      <c r="F7" s="5"/>
      <c r="H7" s="23"/>
      <c r="I7" s="23"/>
      <c r="J7" s="23"/>
      <c r="K7" s="23"/>
      <c r="N7" s="53"/>
      <c r="V7" s="27"/>
      <c r="W7" s="34" t="s">
        <v>14</v>
      </c>
    </row>
    <row r="8" spans="1:25" ht="24.95" customHeight="1" thickTop="1" thickBot="1" x14ac:dyDescent="0.25">
      <c r="A8" s="3" t="s">
        <v>71</v>
      </c>
      <c r="B8" s="3">
        <v>1</v>
      </c>
      <c r="C8" s="5" t="s">
        <v>72</v>
      </c>
      <c r="D8" s="5">
        <v>300</v>
      </c>
      <c r="E8" s="5"/>
      <c r="F8" s="35">
        <v>150000</v>
      </c>
      <c r="H8" s="53"/>
      <c r="V8" s="27"/>
      <c r="W8" s="34" t="s">
        <v>1</v>
      </c>
    </row>
    <row r="9" spans="1:25" ht="29.25" customHeight="1" thickTop="1" x14ac:dyDescent="0.2">
      <c r="A9" s="3" t="s">
        <v>71</v>
      </c>
      <c r="B9" s="3">
        <v>1</v>
      </c>
      <c r="C9" s="26" t="s">
        <v>73</v>
      </c>
      <c r="D9" s="5"/>
      <c r="E9" s="5"/>
      <c r="F9" s="5"/>
      <c r="W9" s="34" t="s">
        <v>15</v>
      </c>
    </row>
    <row r="10" spans="1:25" ht="24.95" customHeight="1" x14ac:dyDescent="0.2">
      <c r="A10" s="3" t="s">
        <v>71</v>
      </c>
      <c r="B10" s="3">
        <v>3</v>
      </c>
      <c r="C10" s="5" t="s">
        <v>74</v>
      </c>
      <c r="D10" s="5">
        <v>110</v>
      </c>
      <c r="E10" s="72">
        <v>100000</v>
      </c>
      <c r="F10" s="5"/>
      <c r="W10" s="34"/>
    </row>
    <row r="11" spans="1:25" ht="24.95" customHeight="1" x14ac:dyDescent="0.2">
      <c r="A11" s="3" t="s">
        <v>71</v>
      </c>
      <c r="B11" s="3">
        <v>3</v>
      </c>
      <c r="C11" s="5" t="s">
        <v>75</v>
      </c>
      <c r="D11" s="5">
        <v>100</v>
      </c>
      <c r="E11" s="5"/>
      <c r="F11" s="35">
        <v>100000</v>
      </c>
      <c r="G11" s="36"/>
      <c r="H11" s="130" t="s">
        <v>95</v>
      </c>
      <c r="I11" s="130"/>
      <c r="J11" s="4"/>
      <c r="K11" s="4"/>
      <c r="M11" s="130" t="s">
        <v>97</v>
      </c>
      <c r="N11" s="130"/>
      <c r="O11" s="47"/>
      <c r="P11" s="4"/>
      <c r="Q11" s="130" t="s">
        <v>100</v>
      </c>
      <c r="R11" s="130"/>
      <c r="S11" s="4"/>
      <c r="T11" s="4"/>
      <c r="U11" s="4"/>
      <c r="W11" s="131"/>
      <c r="X11" s="131"/>
      <c r="Y11" s="47"/>
    </row>
    <row r="12" spans="1:25" ht="33" customHeight="1" x14ac:dyDescent="0.2">
      <c r="A12" s="3" t="s">
        <v>71</v>
      </c>
      <c r="B12" s="3">
        <v>3</v>
      </c>
      <c r="C12" s="26" t="s">
        <v>76</v>
      </c>
      <c r="D12" s="5"/>
      <c r="E12" s="5"/>
      <c r="F12" s="5"/>
      <c r="H12" s="48" t="s">
        <v>4</v>
      </c>
      <c r="I12" s="48" t="s">
        <v>5</v>
      </c>
      <c r="J12" s="4"/>
      <c r="K12" s="4"/>
      <c r="L12" s="24"/>
      <c r="M12" s="48" t="s">
        <v>4</v>
      </c>
      <c r="N12" s="48" t="s">
        <v>5</v>
      </c>
      <c r="O12" s="24"/>
      <c r="P12" s="24"/>
      <c r="Q12" s="48" t="s">
        <v>4</v>
      </c>
      <c r="R12" s="48" t="s">
        <v>5</v>
      </c>
      <c r="S12" s="24"/>
      <c r="T12" s="24"/>
      <c r="U12" s="24"/>
      <c r="W12" s="4"/>
      <c r="X12" s="4"/>
    </row>
    <row r="13" spans="1:25" ht="34.5" customHeight="1" x14ac:dyDescent="0.2">
      <c r="A13" s="3" t="s">
        <v>71</v>
      </c>
      <c r="B13" s="73">
        <v>4</v>
      </c>
      <c r="C13" s="26" t="s">
        <v>77</v>
      </c>
      <c r="D13" s="5">
        <v>130</v>
      </c>
      <c r="E13" s="93">
        <v>1200</v>
      </c>
      <c r="F13" s="93"/>
      <c r="G13" s="27">
        <v>3</v>
      </c>
      <c r="H13" s="89">
        <v>100000</v>
      </c>
      <c r="I13" s="23">
        <v>40000</v>
      </c>
      <c r="J13" s="27">
        <v>5</v>
      </c>
      <c r="K13" s="23"/>
      <c r="L13" s="24">
        <v>4</v>
      </c>
      <c r="M13" s="92">
        <v>1200</v>
      </c>
      <c r="O13" s="24"/>
      <c r="P13" s="24">
        <v>23</v>
      </c>
      <c r="Q13" s="51">
        <v>400</v>
      </c>
      <c r="R13" s="23">
        <v>1200</v>
      </c>
      <c r="S13" s="24">
        <v>4</v>
      </c>
      <c r="T13" s="24"/>
      <c r="U13" s="24"/>
      <c r="V13" s="24"/>
      <c r="W13" s="57"/>
      <c r="X13" s="81"/>
    </row>
    <row r="14" spans="1:25" ht="15" x14ac:dyDescent="0.2">
      <c r="A14" s="3" t="s">
        <v>71</v>
      </c>
      <c r="B14" s="25">
        <v>4</v>
      </c>
      <c r="C14" s="26" t="s">
        <v>78</v>
      </c>
      <c r="D14" s="5">
        <v>200</v>
      </c>
      <c r="E14" s="93"/>
      <c r="F14" s="93">
        <v>1200</v>
      </c>
      <c r="G14" s="27">
        <v>6</v>
      </c>
      <c r="H14" s="92">
        <v>3000</v>
      </c>
      <c r="I14" s="29">
        <v>200</v>
      </c>
      <c r="J14" s="27">
        <v>10</v>
      </c>
      <c r="K14" s="23"/>
      <c r="M14" s="51"/>
      <c r="Q14" s="54"/>
      <c r="R14" s="29"/>
      <c r="V14" s="27"/>
    </row>
    <row r="15" spans="1:25" ht="34.5" customHeight="1" thickBot="1" x14ac:dyDescent="0.25">
      <c r="A15" s="3" t="s">
        <v>71</v>
      </c>
      <c r="B15" s="25">
        <v>4</v>
      </c>
      <c r="C15" s="26" t="s">
        <v>79</v>
      </c>
      <c r="D15" s="5"/>
      <c r="E15" s="5"/>
      <c r="F15" s="5"/>
      <c r="G15" s="27">
        <v>17</v>
      </c>
      <c r="H15" s="55">
        <v>1600</v>
      </c>
      <c r="I15" s="94">
        <v>400</v>
      </c>
      <c r="J15" s="27">
        <v>23</v>
      </c>
      <c r="K15" s="4"/>
      <c r="L15" s="4"/>
      <c r="M15" s="56"/>
      <c r="N15" s="4"/>
      <c r="O15" s="4"/>
      <c r="P15" s="4"/>
      <c r="Q15" s="55"/>
      <c r="R15" s="46"/>
      <c r="S15" s="4"/>
      <c r="T15" s="4"/>
      <c r="U15" s="4"/>
      <c r="W15" s="82"/>
      <c r="X15" s="4"/>
    </row>
    <row r="16" spans="1:25" ht="40.5" customHeight="1" thickTop="1" x14ac:dyDescent="0.2">
      <c r="A16" s="3" t="s">
        <v>71</v>
      </c>
      <c r="B16" s="73">
        <v>5</v>
      </c>
      <c r="C16" s="74" t="s">
        <v>80</v>
      </c>
      <c r="D16" s="5">
        <v>120</v>
      </c>
      <c r="E16" s="35">
        <v>40000</v>
      </c>
      <c r="F16" s="5"/>
      <c r="H16" s="57"/>
      <c r="I16" s="23">
        <v>2200</v>
      </c>
      <c r="J16" s="27">
        <v>31</v>
      </c>
      <c r="K16" s="23"/>
      <c r="M16" s="99">
        <v>1200</v>
      </c>
      <c r="R16" s="70">
        <f>R13-Q13</f>
        <v>800</v>
      </c>
    </row>
    <row r="17" spans="1:23" ht="15.75" thickBot="1" x14ac:dyDescent="0.25">
      <c r="A17" s="3" t="s">
        <v>71</v>
      </c>
      <c r="B17" s="73">
        <v>5</v>
      </c>
      <c r="C17" s="26" t="s">
        <v>81</v>
      </c>
      <c r="D17" s="5">
        <v>110</v>
      </c>
      <c r="E17" s="5"/>
      <c r="F17" s="35">
        <v>40000</v>
      </c>
      <c r="H17" s="91">
        <f>SUM(H13:H16)</f>
        <v>104600</v>
      </c>
      <c r="I17" s="95">
        <f>SUM(I13:I16)</f>
        <v>42800</v>
      </c>
      <c r="J17" s="96"/>
      <c r="K17" s="70"/>
      <c r="R17" s="53"/>
    </row>
    <row r="18" spans="1:23" ht="33" customHeight="1" thickTop="1" x14ac:dyDescent="0.2">
      <c r="A18" s="3" t="s">
        <v>71</v>
      </c>
      <c r="B18" s="73">
        <v>5</v>
      </c>
      <c r="C18" s="26" t="s">
        <v>82</v>
      </c>
      <c r="D18" s="5"/>
      <c r="E18" s="5"/>
      <c r="F18" s="5"/>
      <c r="H18" s="98">
        <f>H17-I17</f>
        <v>61800</v>
      </c>
    </row>
    <row r="19" spans="1:23" ht="28.5" customHeight="1" x14ac:dyDescent="0.2">
      <c r="A19" s="3" t="s">
        <v>71</v>
      </c>
      <c r="B19" s="25">
        <v>6</v>
      </c>
      <c r="C19" s="26" t="s">
        <v>74</v>
      </c>
      <c r="D19" s="5">
        <v>110</v>
      </c>
      <c r="E19" s="35">
        <v>3000</v>
      </c>
      <c r="F19" s="5"/>
      <c r="G19" s="28"/>
      <c r="H19" s="130" t="s">
        <v>96</v>
      </c>
      <c r="I19" s="130"/>
      <c r="J19" s="4"/>
      <c r="K19" s="4"/>
      <c r="M19" s="130" t="s">
        <v>102</v>
      </c>
      <c r="N19" s="130"/>
      <c r="O19" s="47"/>
      <c r="Q19" s="130"/>
      <c r="R19" s="130"/>
    </row>
    <row r="20" spans="1:23" ht="35.25" customHeight="1" x14ac:dyDescent="0.2">
      <c r="A20" s="3" t="s">
        <v>71</v>
      </c>
      <c r="B20" s="25">
        <v>6</v>
      </c>
      <c r="C20" s="74" t="s">
        <v>83</v>
      </c>
      <c r="D20" s="5">
        <v>400</v>
      </c>
      <c r="E20" s="31"/>
      <c r="F20" s="35">
        <v>3000</v>
      </c>
      <c r="H20" s="48" t="s">
        <v>4</v>
      </c>
      <c r="I20" s="48" t="s">
        <v>5</v>
      </c>
      <c r="J20" s="4"/>
      <c r="K20" s="4"/>
      <c r="M20" s="48" t="s">
        <v>4</v>
      </c>
      <c r="N20" s="48" t="s">
        <v>5</v>
      </c>
      <c r="Q20" s="48" t="s">
        <v>4</v>
      </c>
      <c r="R20" s="48" t="s">
        <v>5</v>
      </c>
      <c r="W20" s="23"/>
    </row>
    <row r="21" spans="1:23" ht="30.75" customHeight="1" x14ac:dyDescent="0.2">
      <c r="A21" s="3" t="s">
        <v>71</v>
      </c>
      <c r="B21" s="25">
        <v>6</v>
      </c>
      <c r="C21" s="26" t="s">
        <v>84</v>
      </c>
      <c r="D21" s="5"/>
      <c r="E21" s="5"/>
      <c r="F21" s="5"/>
      <c r="G21" s="27">
        <v>5</v>
      </c>
      <c r="H21" s="23">
        <v>40000</v>
      </c>
      <c r="I21" s="23"/>
      <c r="J21" s="23"/>
      <c r="K21" s="23"/>
      <c r="M21" s="29"/>
      <c r="N21" s="23">
        <v>3000</v>
      </c>
      <c r="O21">
        <v>6</v>
      </c>
      <c r="Q21" s="51"/>
      <c r="R21" s="23"/>
    </row>
    <row r="22" spans="1:23" ht="24.95" customHeight="1" x14ac:dyDescent="0.2">
      <c r="A22" s="3" t="s">
        <v>71</v>
      </c>
      <c r="B22" s="25">
        <v>10</v>
      </c>
      <c r="C22" s="5" t="s">
        <v>85</v>
      </c>
      <c r="D22" s="5">
        <v>101</v>
      </c>
      <c r="E22" s="35">
        <v>200</v>
      </c>
      <c r="F22" s="5"/>
      <c r="H22" s="29"/>
      <c r="M22" s="29"/>
      <c r="N22" s="23">
        <v>1600</v>
      </c>
      <c r="O22">
        <v>17</v>
      </c>
      <c r="Q22" s="54"/>
      <c r="R22" s="29"/>
    </row>
    <row r="23" spans="1:23" ht="30.75" customHeight="1" x14ac:dyDescent="0.2">
      <c r="A23" s="3" t="s">
        <v>71</v>
      </c>
      <c r="B23" s="25">
        <v>10</v>
      </c>
      <c r="C23" s="74" t="s">
        <v>86</v>
      </c>
      <c r="D23" s="5">
        <v>110</v>
      </c>
      <c r="E23" s="5"/>
      <c r="F23" s="35">
        <v>200</v>
      </c>
      <c r="H23" s="45"/>
      <c r="I23" s="4"/>
      <c r="J23" s="4"/>
      <c r="K23" s="4"/>
      <c r="M23" s="45"/>
      <c r="N23" s="23">
        <v>2500</v>
      </c>
      <c r="O23">
        <v>19</v>
      </c>
      <c r="Q23" s="55"/>
      <c r="R23" s="46"/>
    </row>
    <row r="24" spans="1:23" ht="54" customHeight="1" thickBot="1" x14ac:dyDescent="0.25">
      <c r="A24" s="3" t="s">
        <v>71</v>
      </c>
      <c r="B24" s="25">
        <v>10</v>
      </c>
      <c r="C24" s="26" t="s">
        <v>87</v>
      </c>
      <c r="D24" s="5"/>
      <c r="E24" s="5"/>
      <c r="F24" s="35"/>
      <c r="H24" s="70">
        <v>40000</v>
      </c>
      <c r="M24" s="53"/>
      <c r="N24" s="70">
        <f>SUM(N21:N23)</f>
        <v>7100</v>
      </c>
      <c r="Q24" s="57"/>
      <c r="R24" s="23"/>
    </row>
    <row r="25" spans="1:23" ht="16.5" thickTop="1" thickBot="1" x14ac:dyDescent="0.25">
      <c r="A25" s="3" t="s">
        <v>71</v>
      </c>
      <c r="B25" s="25">
        <v>17</v>
      </c>
      <c r="C25" s="5" t="s">
        <v>74</v>
      </c>
      <c r="D25" s="5">
        <v>110</v>
      </c>
      <c r="E25" s="93">
        <v>1600</v>
      </c>
      <c r="F25" s="5"/>
      <c r="H25" s="70"/>
      <c r="M25" s="70"/>
      <c r="P25" s="4"/>
      <c r="R25" s="53"/>
      <c r="S25" s="4"/>
      <c r="T25" s="4"/>
      <c r="U25" s="4"/>
    </row>
    <row r="26" spans="1:23" ht="36" customHeight="1" thickTop="1" x14ac:dyDescent="0.2">
      <c r="A26" s="3" t="s">
        <v>71</v>
      </c>
      <c r="B26" s="25">
        <v>17</v>
      </c>
      <c r="C26" s="26" t="s">
        <v>83</v>
      </c>
      <c r="D26" s="5">
        <v>400</v>
      </c>
      <c r="E26" s="5"/>
      <c r="F26" s="35">
        <v>1600</v>
      </c>
      <c r="H26" s="130" t="s">
        <v>105</v>
      </c>
      <c r="I26" s="130"/>
      <c r="J26" s="4"/>
      <c r="K26" s="4"/>
      <c r="M26" s="130" t="s">
        <v>98</v>
      </c>
      <c r="N26" s="130"/>
      <c r="O26" s="47"/>
      <c r="P26" s="24"/>
      <c r="Q26" s="24"/>
      <c r="R26" s="24"/>
      <c r="S26" s="24"/>
      <c r="T26" s="24"/>
      <c r="U26" s="24"/>
      <c r="W26" s="23"/>
    </row>
    <row r="27" spans="1:23" ht="34.5" customHeight="1" x14ac:dyDescent="0.2">
      <c r="A27" s="3" t="s">
        <v>71</v>
      </c>
      <c r="B27" s="25">
        <v>17</v>
      </c>
      <c r="C27" s="26" t="s">
        <v>88</v>
      </c>
      <c r="D27" s="5"/>
      <c r="E27" s="5"/>
      <c r="F27" s="5"/>
      <c r="H27" s="48" t="s">
        <v>4</v>
      </c>
      <c r="I27" s="48" t="s">
        <v>5</v>
      </c>
      <c r="J27" s="4"/>
      <c r="K27" s="4"/>
      <c r="L27" s="24"/>
      <c r="M27" s="48" t="s">
        <v>4</v>
      </c>
      <c r="N27" s="48" t="s">
        <v>5</v>
      </c>
      <c r="O27" s="24"/>
      <c r="W27" s="23"/>
    </row>
    <row r="28" spans="1:23" ht="15" x14ac:dyDescent="0.2">
      <c r="A28" s="3" t="s">
        <v>71</v>
      </c>
      <c r="B28" s="25">
        <v>19</v>
      </c>
      <c r="C28" s="5" t="s">
        <v>89</v>
      </c>
      <c r="D28" s="5">
        <v>112</v>
      </c>
      <c r="E28" s="35">
        <v>2500</v>
      </c>
      <c r="F28" s="5"/>
      <c r="G28" s="27">
        <v>10</v>
      </c>
      <c r="H28" s="29">
        <v>200</v>
      </c>
      <c r="I28" s="23">
        <v>25</v>
      </c>
      <c r="J28">
        <v>31</v>
      </c>
      <c r="K28" s="23"/>
      <c r="L28" s="24">
        <v>19</v>
      </c>
      <c r="M28" s="29">
        <v>2500</v>
      </c>
      <c r="N28" s="23"/>
      <c r="V28" s="83"/>
      <c r="W28" s="23"/>
    </row>
    <row r="29" spans="1:23" ht="24.95" customHeight="1" x14ac:dyDescent="0.2">
      <c r="A29" s="3" t="s">
        <v>71</v>
      </c>
      <c r="B29" s="25">
        <v>19</v>
      </c>
      <c r="C29" s="74" t="s">
        <v>83</v>
      </c>
      <c r="D29" s="5">
        <v>400</v>
      </c>
      <c r="E29" s="5"/>
      <c r="F29" s="35">
        <v>2500</v>
      </c>
      <c r="H29" s="51"/>
      <c r="M29" s="51"/>
      <c r="P29" s="4"/>
      <c r="Q29" s="4"/>
      <c r="R29" s="4"/>
      <c r="S29" s="4"/>
      <c r="T29" s="4"/>
      <c r="U29" s="4"/>
      <c r="V29" s="4"/>
    </row>
    <row r="30" spans="1:23" ht="46.5" customHeight="1" x14ac:dyDescent="0.2">
      <c r="A30" s="3" t="s">
        <v>71</v>
      </c>
      <c r="B30" s="25">
        <v>19</v>
      </c>
      <c r="C30" s="76" t="s">
        <v>90</v>
      </c>
      <c r="D30" s="5"/>
      <c r="E30" s="5"/>
      <c r="F30" s="5"/>
      <c r="H30" s="45"/>
      <c r="I30" s="4"/>
      <c r="J30" s="4"/>
      <c r="K30" s="4"/>
      <c r="L30" s="4"/>
      <c r="M30" s="45"/>
      <c r="N30" s="4"/>
      <c r="O30" s="4"/>
    </row>
    <row r="31" spans="1:23" ht="24.95" customHeight="1" thickBot="1" x14ac:dyDescent="0.25">
      <c r="A31" s="3" t="s">
        <v>71</v>
      </c>
      <c r="B31" s="25">
        <v>23</v>
      </c>
      <c r="C31" s="5" t="s">
        <v>91</v>
      </c>
      <c r="D31" s="5">
        <v>200</v>
      </c>
      <c r="E31" s="35">
        <v>400</v>
      </c>
      <c r="F31" s="5"/>
      <c r="H31" s="53">
        <f>H28-I28</f>
        <v>175</v>
      </c>
      <c r="M31" s="97">
        <v>2500</v>
      </c>
      <c r="N31" s="53"/>
      <c r="P31" s="4"/>
      <c r="Q31" s="4"/>
      <c r="R31" s="4"/>
      <c r="S31" s="4"/>
      <c r="T31" s="4"/>
      <c r="U31" s="4"/>
    </row>
    <row r="32" spans="1:23" ht="24.95" customHeight="1" thickTop="1" x14ac:dyDescent="0.2">
      <c r="A32" s="3" t="s">
        <v>71</v>
      </c>
      <c r="B32" s="25">
        <v>23</v>
      </c>
      <c r="C32" s="5" t="s">
        <v>92</v>
      </c>
      <c r="D32" s="5">
        <v>110</v>
      </c>
      <c r="E32" s="35"/>
      <c r="F32" s="5">
        <v>400</v>
      </c>
      <c r="H32" s="131"/>
      <c r="I32" s="131"/>
      <c r="J32" s="4"/>
      <c r="K32" s="4"/>
      <c r="M32" s="131"/>
      <c r="N32" s="131"/>
      <c r="O32" s="4"/>
      <c r="P32" s="24"/>
      <c r="Q32" s="24"/>
      <c r="R32" s="24"/>
      <c r="S32" s="24"/>
      <c r="T32" s="24"/>
      <c r="U32" s="24"/>
    </row>
    <row r="33" spans="1:21" ht="24.95" customHeight="1" x14ac:dyDescent="0.2">
      <c r="A33" s="3" t="s">
        <v>71</v>
      </c>
      <c r="B33" s="25">
        <v>23</v>
      </c>
      <c r="C33" s="5" t="s">
        <v>94</v>
      </c>
      <c r="D33" s="5"/>
      <c r="E33" s="5"/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5" customHeight="1" x14ac:dyDescent="0.2">
      <c r="A34" s="3" t="s">
        <v>71</v>
      </c>
      <c r="B34" s="25">
        <v>31</v>
      </c>
      <c r="C34" s="5" t="s">
        <v>106</v>
      </c>
      <c r="D34" s="5">
        <v>600</v>
      </c>
      <c r="E34" s="71">
        <v>2200</v>
      </c>
      <c r="F34" s="35"/>
      <c r="H34" s="130" t="s">
        <v>103</v>
      </c>
      <c r="I34" s="130"/>
      <c r="J34" s="4"/>
      <c r="K34" s="4"/>
      <c r="M34" s="130" t="s">
        <v>104</v>
      </c>
      <c r="N34" s="130"/>
      <c r="O34" s="23"/>
    </row>
    <row r="35" spans="1:21" ht="45" customHeight="1" x14ac:dyDescent="0.2">
      <c r="A35" s="3" t="s">
        <v>71</v>
      </c>
      <c r="B35" s="25">
        <v>31</v>
      </c>
      <c r="C35" s="32" t="s">
        <v>107</v>
      </c>
      <c r="D35" s="5">
        <v>601</v>
      </c>
      <c r="E35" s="71">
        <v>25</v>
      </c>
      <c r="F35" s="5"/>
      <c r="H35" s="48" t="s">
        <v>4</v>
      </c>
      <c r="I35" s="48" t="s">
        <v>5</v>
      </c>
      <c r="J35" s="4"/>
      <c r="K35" s="4"/>
      <c r="L35" s="24"/>
      <c r="M35" s="48" t="s">
        <v>4</v>
      </c>
      <c r="N35" s="48" t="s">
        <v>5</v>
      </c>
      <c r="P35" s="4"/>
      <c r="Q35" s="4"/>
      <c r="R35" s="4"/>
      <c r="S35" s="4"/>
      <c r="T35" s="4"/>
      <c r="U35" s="4"/>
    </row>
    <row r="36" spans="1:21" ht="24.95" customHeight="1" x14ac:dyDescent="0.2">
      <c r="A36" s="3" t="s">
        <v>71</v>
      </c>
      <c r="B36" s="25">
        <v>31</v>
      </c>
      <c r="C36" s="5" t="s">
        <v>74</v>
      </c>
      <c r="D36" s="5">
        <v>110</v>
      </c>
      <c r="E36" s="5"/>
      <c r="F36" s="71">
        <v>2200</v>
      </c>
      <c r="G36" s="27">
        <v>31</v>
      </c>
      <c r="H36" s="29">
        <v>2200</v>
      </c>
      <c r="I36" s="23"/>
      <c r="J36" s="23"/>
      <c r="K36" s="23"/>
      <c r="L36" s="24">
        <v>31</v>
      </c>
      <c r="M36" s="29">
        <v>25</v>
      </c>
      <c r="N36" s="23"/>
      <c r="O36" s="4"/>
    </row>
    <row r="37" spans="1:21" ht="24.95" customHeight="1" x14ac:dyDescent="0.2">
      <c r="A37" s="3" t="s">
        <v>71</v>
      </c>
      <c r="B37" s="25">
        <v>31</v>
      </c>
      <c r="C37" s="5" t="s">
        <v>93</v>
      </c>
      <c r="D37" s="5">
        <v>101</v>
      </c>
      <c r="E37" s="5"/>
      <c r="F37" s="71">
        <v>25</v>
      </c>
      <c r="H37" s="51"/>
      <c r="M37" s="51"/>
    </row>
    <row r="38" spans="1:21" ht="40.15" customHeight="1" x14ac:dyDescent="0.2">
      <c r="A38" s="3" t="s">
        <v>71</v>
      </c>
      <c r="B38" s="25">
        <v>31</v>
      </c>
      <c r="C38" s="32" t="s">
        <v>108</v>
      </c>
      <c r="D38" s="5"/>
      <c r="E38" s="35"/>
      <c r="F38" s="35"/>
      <c r="H38" s="45"/>
      <c r="I38" s="4"/>
      <c r="J38" s="4"/>
      <c r="K38" s="4"/>
      <c r="L38" s="4"/>
      <c r="M38" s="45"/>
      <c r="N38" s="4"/>
    </row>
    <row r="39" spans="1:21" ht="24.95" customHeight="1" thickBot="1" x14ac:dyDescent="0.25">
      <c r="H39" s="97">
        <v>2200</v>
      </c>
      <c r="M39" s="97">
        <v>25</v>
      </c>
      <c r="N39" s="53"/>
    </row>
    <row r="40" spans="1:21" ht="24.95" customHeight="1" thickTop="1" x14ac:dyDescent="0.2">
      <c r="H40" s="131"/>
      <c r="I40" s="131"/>
      <c r="J40" s="4"/>
      <c r="K40" s="4"/>
      <c r="M40" s="131"/>
      <c r="N40" s="131"/>
    </row>
  </sheetData>
  <mergeCells count="24">
    <mergeCell ref="W11:X11"/>
    <mergeCell ref="H19:I19"/>
    <mergeCell ref="H26:I26"/>
    <mergeCell ref="M26:N26"/>
    <mergeCell ref="H32:I32"/>
    <mergeCell ref="M32:N32"/>
    <mergeCell ref="M19:N19"/>
    <mergeCell ref="Q11:R11"/>
    <mergeCell ref="Q19:R19"/>
    <mergeCell ref="A1:E1"/>
    <mergeCell ref="Q1:R1"/>
    <mergeCell ref="H34:I34"/>
    <mergeCell ref="M34:N34"/>
    <mergeCell ref="H40:I40"/>
    <mergeCell ref="M40:N40"/>
    <mergeCell ref="A6:B6"/>
    <mergeCell ref="A4:F4"/>
    <mergeCell ref="A2:F2"/>
    <mergeCell ref="A3:F3"/>
    <mergeCell ref="A5:B5"/>
    <mergeCell ref="M1:N1"/>
    <mergeCell ref="H1:I1"/>
    <mergeCell ref="H11:I11"/>
    <mergeCell ref="M11:N11"/>
  </mergeCells>
  <phoneticPr fontId="4" type="noConversion"/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128"/>
  <sheetViews>
    <sheetView zoomScale="73" workbookViewId="0">
      <selection activeCell="E121" sqref="E121"/>
    </sheetView>
  </sheetViews>
  <sheetFormatPr defaultColWidth="10.8515625" defaultRowHeight="18" x14ac:dyDescent="0.25"/>
  <cols>
    <col min="1" max="1" width="8.3828125" style="6" customWidth="1"/>
    <col min="2" max="2" width="3.08203125" style="6" customWidth="1"/>
    <col min="3" max="3" width="18.98828125" style="6" customWidth="1"/>
    <col min="4" max="4" width="5.0546875" style="6" customWidth="1"/>
    <col min="5" max="5" width="11.8359375" style="6" customWidth="1"/>
    <col min="6" max="6" width="8.3828125" style="6" customWidth="1"/>
    <col min="7" max="7" width="3.08203125" style="6" customWidth="1"/>
    <col min="8" max="8" width="17.015625" style="6" customWidth="1"/>
    <col min="9" max="9" width="5.0546875" style="6" customWidth="1"/>
    <col min="10" max="10" width="11.09765625" style="6" bestFit="1" customWidth="1"/>
    <col min="11" max="15" width="10.8515625" style="6"/>
    <col min="16" max="16" width="9.86328125" style="6" customWidth="1"/>
    <col min="17" max="16384" width="10.8515625" style="6"/>
  </cols>
  <sheetData>
    <row r="1" spans="1:15" s="8" customFormat="1" ht="18.75" x14ac:dyDescent="0.25">
      <c r="A1" s="141" t="s">
        <v>17</v>
      </c>
      <c r="B1" s="141"/>
      <c r="C1" s="141"/>
      <c r="D1" s="141"/>
      <c r="E1" s="141"/>
      <c r="F1" s="141"/>
      <c r="G1" s="141"/>
      <c r="H1" s="141"/>
      <c r="I1" s="141"/>
      <c r="J1" s="141"/>
    </row>
    <row r="2" spans="1:15" s="8" customFormat="1" ht="18.75" x14ac:dyDescent="0.25">
      <c r="A2" s="141"/>
      <c r="B2" s="141"/>
      <c r="C2" s="141"/>
      <c r="D2" s="141"/>
      <c r="E2" s="141"/>
      <c r="F2" s="141"/>
      <c r="G2" s="141"/>
      <c r="H2" s="137" t="s">
        <v>18</v>
      </c>
      <c r="I2" s="141"/>
      <c r="J2" s="87">
        <v>100</v>
      </c>
      <c r="N2" s="37" t="s">
        <v>19</v>
      </c>
      <c r="O2" s="39"/>
    </row>
    <row r="3" spans="1:15" ht="19.5" thickBot="1" x14ac:dyDescent="0.3">
      <c r="A3" s="144" t="s">
        <v>110</v>
      </c>
      <c r="B3" s="144"/>
      <c r="C3" s="144"/>
      <c r="D3" s="144"/>
      <c r="E3" s="144"/>
      <c r="F3" s="144"/>
      <c r="G3" s="144"/>
      <c r="H3" s="144"/>
      <c r="I3" s="144"/>
      <c r="J3" s="144"/>
      <c r="N3" s="38" t="s">
        <v>14</v>
      </c>
      <c r="O3" s="39"/>
    </row>
    <row r="4" spans="1:15" s="7" customFormat="1" ht="18.75" x14ac:dyDescent="0.25">
      <c r="A4" s="13" t="s">
        <v>9</v>
      </c>
      <c r="B4" s="14"/>
      <c r="C4" s="14" t="s">
        <v>10</v>
      </c>
      <c r="D4" s="14" t="s">
        <v>20</v>
      </c>
      <c r="E4" s="86" t="s">
        <v>21</v>
      </c>
      <c r="F4" s="14" t="s">
        <v>9</v>
      </c>
      <c r="G4" s="14"/>
      <c r="H4" s="14" t="s">
        <v>10</v>
      </c>
      <c r="I4" s="14" t="s">
        <v>20</v>
      </c>
      <c r="J4" s="86" t="s">
        <v>22</v>
      </c>
      <c r="N4" s="38" t="s">
        <v>1</v>
      </c>
      <c r="O4" s="39"/>
    </row>
    <row r="5" spans="1:15" s="7" customFormat="1" ht="18.75" x14ac:dyDescent="0.25">
      <c r="A5" s="40" t="s">
        <v>71</v>
      </c>
      <c r="B5" s="9"/>
      <c r="C5" s="9">
        <v>1</v>
      </c>
      <c r="D5" s="9">
        <v>1</v>
      </c>
      <c r="E5" s="58">
        <v>150000</v>
      </c>
      <c r="F5" s="10"/>
      <c r="G5" s="10"/>
      <c r="H5" s="9"/>
      <c r="I5" s="9"/>
      <c r="J5" s="31">
        <v>100000</v>
      </c>
      <c r="N5" s="38" t="s">
        <v>15</v>
      </c>
      <c r="O5" s="39"/>
    </row>
    <row r="6" spans="1:15" ht="18.75" x14ac:dyDescent="0.25">
      <c r="A6" s="15"/>
      <c r="B6" s="10"/>
      <c r="C6" s="10"/>
      <c r="D6" s="10"/>
      <c r="E6" s="10"/>
      <c r="F6" s="10"/>
      <c r="G6" s="10"/>
      <c r="H6" s="10"/>
      <c r="I6" s="9"/>
      <c r="J6" s="61"/>
      <c r="N6" s="38" t="s">
        <v>23</v>
      </c>
      <c r="O6" s="39"/>
    </row>
    <row r="7" spans="1:15" ht="18.75" x14ac:dyDescent="0.25">
      <c r="A7" s="15"/>
      <c r="B7" s="10"/>
      <c r="C7" s="10"/>
      <c r="D7" s="10"/>
      <c r="E7" s="10"/>
      <c r="F7" s="10"/>
      <c r="G7" s="10"/>
      <c r="H7" s="10"/>
      <c r="I7" s="9"/>
      <c r="J7" s="31"/>
      <c r="N7" s="38" t="s">
        <v>8</v>
      </c>
      <c r="O7" s="39"/>
    </row>
    <row r="8" spans="1:15" x14ac:dyDescent="0.25">
      <c r="A8" s="15"/>
      <c r="B8" s="10"/>
      <c r="C8" s="10"/>
      <c r="D8" s="10"/>
      <c r="E8" s="10"/>
      <c r="F8" s="10"/>
      <c r="G8" s="10"/>
      <c r="H8" s="10"/>
      <c r="I8" s="10"/>
      <c r="J8" s="10"/>
    </row>
    <row r="9" spans="1:15" x14ac:dyDescent="0.25">
      <c r="A9" s="15"/>
      <c r="B9" s="10"/>
      <c r="C9" s="10"/>
      <c r="D9" s="10"/>
      <c r="E9" s="10"/>
      <c r="F9" s="10"/>
      <c r="G9" s="10"/>
      <c r="H9" s="10"/>
      <c r="I9" s="10"/>
      <c r="J9" s="10"/>
    </row>
    <row r="10" spans="1:15" x14ac:dyDescent="0.25">
      <c r="A10" s="15"/>
      <c r="B10" s="10"/>
      <c r="C10" s="10"/>
      <c r="D10" s="10"/>
      <c r="E10" s="10"/>
      <c r="F10" s="10"/>
      <c r="G10" s="10"/>
      <c r="H10" s="10"/>
      <c r="I10" s="10"/>
      <c r="J10" s="10"/>
    </row>
    <row r="11" spans="1:15" x14ac:dyDescent="0.25">
      <c r="A11" s="15"/>
      <c r="B11" s="10"/>
      <c r="C11" s="10"/>
      <c r="D11" s="10"/>
      <c r="E11" s="10"/>
      <c r="F11" s="10"/>
      <c r="G11" s="10"/>
      <c r="H11" s="10"/>
      <c r="I11" s="10"/>
      <c r="J11" s="10"/>
    </row>
    <row r="12" spans="1:15" ht="18.75" thickBo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</row>
    <row r="13" spans="1:15" x14ac:dyDescent="0.25">
      <c r="A13" s="142"/>
      <c r="B13" s="143"/>
      <c r="C13" s="143"/>
      <c r="D13" s="143"/>
      <c r="E13" s="143"/>
      <c r="F13" s="143"/>
      <c r="G13" s="143"/>
      <c r="H13" s="143"/>
      <c r="I13" s="143"/>
      <c r="J13" s="143"/>
    </row>
    <row r="14" spans="1:15" ht="19.5" thickBot="1" x14ac:dyDescent="0.3">
      <c r="A14" s="137" t="s">
        <v>111</v>
      </c>
      <c r="B14" s="141"/>
      <c r="C14" s="141"/>
      <c r="D14" s="141"/>
      <c r="E14" s="141"/>
      <c r="F14" s="141"/>
      <c r="G14" s="141"/>
      <c r="H14" s="137" t="s">
        <v>18</v>
      </c>
      <c r="I14" s="141"/>
      <c r="J14" s="87">
        <v>101</v>
      </c>
    </row>
    <row r="15" spans="1:15" ht="18.75" thickBot="1" x14ac:dyDescent="0.3">
      <c r="A15" s="11" t="s">
        <v>9</v>
      </c>
      <c r="B15" s="12"/>
      <c r="C15" s="12" t="s">
        <v>10</v>
      </c>
      <c r="D15" s="12" t="s">
        <v>20</v>
      </c>
      <c r="E15" s="85" t="s">
        <v>21</v>
      </c>
      <c r="F15" s="12" t="s">
        <v>9</v>
      </c>
      <c r="G15" s="12"/>
      <c r="H15" s="12" t="s">
        <v>10</v>
      </c>
      <c r="I15" s="12" t="s">
        <v>20</v>
      </c>
      <c r="J15" s="88" t="s">
        <v>22</v>
      </c>
    </row>
    <row r="16" spans="1:15" x14ac:dyDescent="0.25">
      <c r="A16" s="15" t="s">
        <v>71</v>
      </c>
      <c r="B16" s="10">
        <v>10</v>
      </c>
      <c r="C16" s="10"/>
      <c r="D16" s="9">
        <v>1</v>
      </c>
      <c r="E16" s="64">
        <v>200</v>
      </c>
      <c r="F16" s="10" t="s">
        <v>71</v>
      </c>
      <c r="G16" s="10">
        <v>30</v>
      </c>
      <c r="H16" s="10"/>
      <c r="I16" s="10">
        <v>1</v>
      </c>
      <c r="J16" s="10">
        <v>25</v>
      </c>
    </row>
    <row r="17" spans="1:10" x14ac:dyDescent="0.25">
      <c r="A17" s="15"/>
      <c r="B17" s="10"/>
      <c r="C17" s="10"/>
      <c r="D17" s="10"/>
      <c r="E17" s="10"/>
      <c r="G17" s="10"/>
      <c r="H17" s="10"/>
      <c r="I17" s="10"/>
      <c r="J17" s="10"/>
    </row>
    <row r="18" spans="1:10" x14ac:dyDescent="0.25">
      <c r="A18" s="15"/>
      <c r="B18" s="10"/>
      <c r="C18" s="10"/>
      <c r="D18" s="10"/>
      <c r="E18" s="10"/>
      <c r="F18" s="10"/>
      <c r="G18" s="10"/>
      <c r="H18" s="10"/>
      <c r="I18" s="10"/>
      <c r="J18" s="10"/>
    </row>
    <row r="19" spans="1:10" x14ac:dyDescent="0.25">
      <c r="A19" s="15"/>
      <c r="B19" s="10"/>
      <c r="C19" s="10"/>
      <c r="D19" s="10"/>
      <c r="E19" s="10"/>
      <c r="F19" s="10"/>
      <c r="G19" s="10"/>
      <c r="H19" s="10"/>
      <c r="I19" s="10"/>
      <c r="J19" s="10"/>
    </row>
    <row r="20" spans="1:10" x14ac:dyDescent="0.25">
      <c r="A20" s="15"/>
      <c r="B20" s="10"/>
      <c r="C20" s="10"/>
      <c r="D20" s="10"/>
      <c r="E20" s="10"/>
      <c r="F20" s="10"/>
      <c r="G20" s="10"/>
      <c r="H20" s="10"/>
      <c r="I20" s="10"/>
      <c r="J20" s="10"/>
    </row>
    <row r="21" spans="1:10" x14ac:dyDescent="0.25">
      <c r="A21" s="15"/>
      <c r="B21" s="10"/>
      <c r="C21" s="10"/>
      <c r="D21" s="10"/>
      <c r="E21" s="10"/>
      <c r="F21" s="10"/>
      <c r="G21" s="10"/>
      <c r="H21" s="10"/>
      <c r="I21" s="10"/>
      <c r="J21" s="10"/>
    </row>
    <row r="22" spans="1:10" ht="18.75" thickBo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</row>
    <row r="24" spans="1:10" ht="19.5" thickBot="1" x14ac:dyDescent="0.3">
      <c r="A24" s="137" t="s">
        <v>74</v>
      </c>
      <c r="B24" s="141"/>
      <c r="C24" s="141"/>
      <c r="D24" s="141"/>
      <c r="E24" s="141"/>
      <c r="F24" s="141"/>
      <c r="G24" s="141"/>
      <c r="H24" s="137" t="s">
        <v>18</v>
      </c>
      <c r="I24" s="141"/>
      <c r="J24" s="84">
        <v>110</v>
      </c>
    </row>
    <row r="25" spans="1:10" ht="18.75" thickBot="1" x14ac:dyDescent="0.3">
      <c r="A25" s="11" t="s">
        <v>9</v>
      </c>
      <c r="B25" s="12"/>
      <c r="C25" s="12" t="s">
        <v>10</v>
      </c>
      <c r="D25" s="12" t="s">
        <v>20</v>
      </c>
      <c r="E25" s="85" t="s">
        <v>21</v>
      </c>
      <c r="F25" s="12" t="s">
        <v>9</v>
      </c>
      <c r="G25" s="12"/>
      <c r="H25" s="12" t="s">
        <v>10</v>
      </c>
      <c r="I25" s="12" t="s">
        <v>20</v>
      </c>
      <c r="J25" s="85" t="s">
        <v>22</v>
      </c>
    </row>
    <row r="26" spans="1:10" x14ac:dyDescent="0.25">
      <c r="A26" s="15" t="s">
        <v>71</v>
      </c>
      <c r="B26" s="10">
        <v>3</v>
      </c>
      <c r="C26" s="10"/>
      <c r="D26" s="9">
        <v>1</v>
      </c>
      <c r="E26" s="64">
        <v>100000</v>
      </c>
      <c r="F26" s="10" t="s">
        <v>71</v>
      </c>
      <c r="G26" s="10">
        <v>5</v>
      </c>
      <c r="H26" s="10"/>
      <c r="I26" s="10">
        <v>1</v>
      </c>
      <c r="J26" s="10">
        <v>40000</v>
      </c>
    </row>
    <row r="27" spans="1:10" x14ac:dyDescent="0.25">
      <c r="A27" s="15"/>
      <c r="B27" s="10">
        <v>6</v>
      </c>
      <c r="C27" s="10"/>
      <c r="D27" s="10">
        <v>1</v>
      </c>
      <c r="E27" s="10">
        <v>3000</v>
      </c>
      <c r="F27" s="10"/>
      <c r="G27" s="10">
        <v>10</v>
      </c>
      <c r="H27" s="10"/>
      <c r="I27" s="10">
        <v>1</v>
      </c>
      <c r="J27" s="10">
        <v>200</v>
      </c>
    </row>
    <row r="28" spans="1:10" x14ac:dyDescent="0.25">
      <c r="A28" s="15"/>
      <c r="B28" s="10">
        <v>17</v>
      </c>
      <c r="C28" s="10"/>
      <c r="D28" s="10">
        <v>1</v>
      </c>
      <c r="E28" s="6">
        <v>1600</v>
      </c>
      <c r="F28" s="10"/>
      <c r="G28" s="10">
        <v>23</v>
      </c>
      <c r="H28" s="10"/>
      <c r="I28" s="10">
        <v>1</v>
      </c>
      <c r="J28" s="10">
        <v>400</v>
      </c>
    </row>
    <row r="29" spans="1:10" x14ac:dyDescent="0.25">
      <c r="A29" s="15"/>
      <c r="B29" s="10"/>
      <c r="C29" s="10"/>
      <c r="D29" s="10"/>
      <c r="E29" s="10"/>
      <c r="F29" s="10"/>
      <c r="G29" s="10">
        <v>39</v>
      </c>
      <c r="H29" s="10"/>
      <c r="I29" s="10"/>
      <c r="J29" s="10">
        <v>2200</v>
      </c>
    </row>
    <row r="30" spans="1:10" x14ac:dyDescent="0.25">
      <c r="A30" s="15"/>
      <c r="B30" s="10"/>
      <c r="C30" s="10"/>
      <c r="D30" s="10"/>
      <c r="E30" s="10"/>
      <c r="F30" s="10"/>
      <c r="G30" s="10"/>
      <c r="H30" s="10"/>
      <c r="I30" s="10"/>
      <c r="J30" s="10"/>
    </row>
    <row r="31" spans="1:10" x14ac:dyDescent="0.25">
      <c r="A31" s="15"/>
      <c r="B31" s="10"/>
      <c r="C31" s="10"/>
      <c r="D31" s="10"/>
      <c r="E31" s="10"/>
      <c r="F31" s="10"/>
      <c r="G31" s="10"/>
      <c r="H31" s="10"/>
      <c r="I31" s="10"/>
      <c r="J31" s="10"/>
    </row>
    <row r="32" spans="1:10" ht="18.75" thickBot="1" x14ac:dyDescent="0.3">
      <c r="A32" s="16"/>
      <c r="B32" s="17"/>
      <c r="C32" s="17"/>
      <c r="D32" s="17"/>
      <c r="E32" s="17"/>
      <c r="F32" s="17"/>
      <c r="G32" s="17"/>
      <c r="H32" s="17"/>
      <c r="I32" s="17"/>
      <c r="J32" s="17"/>
    </row>
    <row r="34" spans="1:10" ht="19.5" thickBot="1" x14ac:dyDescent="0.3">
      <c r="A34" s="137" t="s">
        <v>89</v>
      </c>
      <c r="B34" s="141"/>
      <c r="C34" s="141"/>
      <c r="D34" s="141"/>
      <c r="E34" s="141"/>
      <c r="F34" s="141"/>
      <c r="G34" s="141"/>
      <c r="H34" s="137" t="s">
        <v>18</v>
      </c>
      <c r="I34" s="141"/>
      <c r="J34" s="84">
        <v>112</v>
      </c>
    </row>
    <row r="35" spans="1:10" ht="18.75" thickBot="1" x14ac:dyDescent="0.3">
      <c r="A35" s="11" t="s">
        <v>9</v>
      </c>
      <c r="B35" s="12"/>
      <c r="C35" s="12" t="s">
        <v>10</v>
      </c>
      <c r="D35" s="12" t="s">
        <v>20</v>
      </c>
      <c r="E35" s="85" t="s">
        <v>21</v>
      </c>
      <c r="F35" s="12" t="s">
        <v>9</v>
      </c>
      <c r="G35" s="12"/>
      <c r="H35" s="12" t="s">
        <v>10</v>
      </c>
      <c r="I35" s="12" t="s">
        <v>20</v>
      </c>
      <c r="J35" s="85" t="s">
        <v>22</v>
      </c>
    </row>
    <row r="36" spans="1:10" x14ac:dyDescent="0.25">
      <c r="A36" s="15" t="s">
        <v>71</v>
      </c>
      <c r="B36" s="10">
        <v>19</v>
      </c>
      <c r="C36" s="10"/>
      <c r="D36" s="9">
        <v>1</v>
      </c>
      <c r="E36" s="65">
        <v>2500</v>
      </c>
      <c r="F36" s="10"/>
      <c r="G36" s="10"/>
      <c r="H36" s="10"/>
      <c r="I36" s="10"/>
      <c r="J36" s="10"/>
    </row>
    <row r="37" spans="1:10" x14ac:dyDescent="0.25">
      <c r="A37" s="15"/>
      <c r="B37" s="10"/>
      <c r="C37" s="10"/>
      <c r="D37" s="10"/>
      <c r="E37" s="10"/>
      <c r="F37" s="10"/>
      <c r="G37" s="10"/>
      <c r="H37" s="10"/>
      <c r="I37" s="10"/>
      <c r="J37" s="10"/>
    </row>
    <row r="38" spans="1:10" x14ac:dyDescent="0.25">
      <c r="A38" s="15"/>
      <c r="B38" s="10"/>
      <c r="C38" s="10"/>
      <c r="D38" s="10"/>
      <c r="E38" s="10"/>
      <c r="F38" s="10"/>
      <c r="G38" s="10"/>
      <c r="H38" s="10"/>
      <c r="I38" s="10"/>
      <c r="J38" s="10"/>
    </row>
    <row r="39" spans="1:10" x14ac:dyDescent="0.25">
      <c r="A39" s="15"/>
      <c r="B39" s="10"/>
      <c r="C39" s="10"/>
      <c r="D39" s="10"/>
      <c r="E39" s="10"/>
      <c r="F39" s="10"/>
      <c r="G39" s="10"/>
      <c r="H39" s="10"/>
      <c r="I39" s="10"/>
      <c r="J39" s="10"/>
    </row>
    <row r="40" spans="1:10" x14ac:dyDescent="0.25">
      <c r="A40" s="15"/>
      <c r="B40" s="10"/>
      <c r="C40" s="10"/>
      <c r="D40" s="10"/>
      <c r="E40" s="10"/>
      <c r="F40" s="10"/>
      <c r="G40" s="10"/>
      <c r="H40" s="10"/>
      <c r="I40" s="10"/>
      <c r="J40" s="10"/>
    </row>
    <row r="41" spans="1:10" x14ac:dyDescent="0.25">
      <c r="A41" s="15"/>
      <c r="B41" s="10"/>
      <c r="C41" s="10"/>
      <c r="D41" s="10"/>
      <c r="E41" s="10"/>
      <c r="F41" s="10"/>
      <c r="G41" s="10"/>
      <c r="H41" s="10"/>
      <c r="I41" s="10"/>
      <c r="J41" s="10"/>
    </row>
    <row r="42" spans="1:10" x14ac:dyDescent="0.25">
      <c r="A42" s="15"/>
      <c r="B42" s="10"/>
      <c r="C42" s="10"/>
      <c r="D42" s="10"/>
      <c r="E42" s="10"/>
      <c r="F42" s="10"/>
      <c r="G42" s="10"/>
      <c r="H42" s="10"/>
      <c r="I42" s="10"/>
      <c r="J42" s="10"/>
    </row>
    <row r="43" spans="1:10" x14ac:dyDescent="0.25">
      <c r="A43" s="15"/>
      <c r="B43" s="10"/>
      <c r="C43" s="10"/>
      <c r="D43" s="10"/>
      <c r="E43" s="10"/>
      <c r="F43" s="10"/>
      <c r="G43" s="10"/>
      <c r="H43" s="10"/>
      <c r="I43" s="10"/>
      <c r="J43" s="10"/>
    </row>
    <row r="44" spans="1:10" ht="18.75" thickBot="1" x14ac:dyDescent="0.3">
      <c r="A44" s="16"/>
      <c r="B44" s="17"/>
      <c r="C44" s="17"/>
      <c r="D44" s="17"/>
      <c r="E44" s="17"/>
      <c r="F44" s="17"/>
      <c r="G44" s="17"/>
      <c r="H44" s="17"/>
      <c r="I44" s="17"/>
      <c r="J44" s="17"/>
    </row>
    <row r="46" spans="1:10" ht="19.5" thickBot="1" x14ac:dyDescent="0.3">
      <c r="A46" s="137" t="s">
        <v>80</v>
      </c>
      <c r="B46" s="141"/>
      <c r="C46" s="141"/>
      <c r="D46" s="141"/>
      <c r="E46" s="141"/>
      <c r="F46" s="141"/>
      <c r="G46" s="141"/>
      <c r="H46" s="137" t="s">
        <v>18</v>
      </c>
      <c r="I46" s="141"/>
      <c r="J46" s="84">
        <v>120</v>
      </c>
    </row>
    <row r="47" spans="1:10" ht="18.75" thickBot="1" x14ac:dyDescent="0.3">
      <c r="A47" s="11" t="s">
        <v>9</v>
      </c>
      <c r="B47" s="12"/>
      <c r="C47" s="12" t="s">
        <v>10</v>
      </c>
      <c r="D47" s="12" t="s">
        <v>20</v>
      </c>
      <c r="E47" s="85" t="s">
        <v>21</v>
      </c>
      <c r="F47" s="12" t="s">
        <v>9</v>
      </c>
      <c r="G47" s="12"/>
      <c r="H47" s="12" t="s">
        <v>10</v>
      </c>
      <c r="I47" s="12" t="s">
        <v>20</v>
      </c>
      <c r="J47" s="85" t="s">
        <v>22</v>
      </c>
    </row>
    <row r="48" spans="1:10" x14ac:dyDescent="0.25">
      <c r="A48" s="15" t="s">
        <v>71</v>
      </c>
      <c r="B48" s="10">
        <v>5</v>
      </c>
      <c r="C48" s="10"/>
      <c r="D48" s="9">
        <v>1</v>
      </c>
      <c r="E48" s="64">
        <v>40000</v>
      </c>
      <c r="F48" s="10"/>
      <c r="G48" s="10"/>
      <c r="H48" s="10"/>
      <c r="I48" s="10"/>
      <c r="J48" s="10"/>
    </row>
    <row r="49" spans="1:10" x14ac:dyDescent="0.25">
      <c r="A49" s="15"/>
      <c r="B49" s="10"/>
      <c r="C49" s="10"/>
      <c r="D49" s="10"/>
      <c r="E49" s="10"/>
      <c r="F49" s="10"/>
      <c r="G49" s="10"/>
      <c r="H49" s="10"/>
      <c r="I49" s="10"/>
      <c r="J49" s="10"/>
    </row>
    <row r="50" spans="1:10" x14ac:dyDescent="0.25">
      <c r="A50" s="15"/>
      <c r="B50" s="10"/>
      <c r="C50" s="10"/>
      <c r="D50" s="10"/>
      <c r="E50" s="10"/>
      <c r="F50" s="10"/>
      <c r="G50" s="10"/>
      <c r="H50" s="10"/>
      <c r="I50" s="10"/>
      <c r="J50" s="10"/>
    </row>
    <row r="51" spans="1:10" x14ac:dyDescent="0.25">
      <c r="A51" s="15"/>
      <c r="B51" s="10"/>
      <c r="C51" s="10"/>
      <c r="D51" s="10"/>
      <c r="E51" s="10"/>
      <c r="F51" s="10"/>
      <c r="G51" s="10"/>
      <c r="H51" s="10"/>
      <c r="I51" s="10"/>
      <c r="J51" s="10"/>
    </row>
    <row r="52" spans="1:10" x14ac:dyDescent="0.25">
      <c r="A52" s="15"/>
      <c r="B52" s="10"/>
      <c r="C52" s="10"/>
      <c r="D52" s="10"/>
      <c r="E52" s="10"/>
      <c r="F52" s="10"/>
      <c r="G52" s="10"/>
      <c r="H52" s="10"/>
      <c r="I52" s="10"/>
      <c r="J52" s="10"/>
    </row>
    <row r="53" spans="1:10" x14ac:dyDescent="0.25">
      <c r="A53" s="15"/>
      <c r="B53" s="10"/>
      <c r="C53" s="10"/>
      <c r="D53" s="10"/>
      <c r="E53" s="10"/>
      <c r="F53" s="10"/>
      <c r="G53" s="10"/>
      <c r="H53" s="10"/>
      <c r="I53" s="10"/>
      <c r="J53" s="10"/>
    </row>
    <row r="54" spans="1:10" x14ac:dyDescent="0.25">
      <c r="A54" s="15"/>
      <c r="B54" s="10"/>
      <c r="C54" s="10"/>
      <c r="D54" s="10"/>
      <c r="E54" s="10"/>
      <c r="F54" s="10"/>
      <c r="G54" s="10"/>
      <c r="H54" s="10"/>
      <c r="I54" s="10"/>
      <c r="J54" s="10"/>
    </row>
    <row r="55" spans="1:10" x14ac:dyDescent="0.25">
      <c r="A55" s="15"/>
      <c r="B55" s="10"/>
      <c r="C55" s="10"/>
      <c r="D55" s="10"/>
      <c r="E55" s="10"/>
      <c r="F55" s="10"/>
      <c r="G55" s="10"/>
      <c r="H55" s="10"/>
      <c r="I55" s="10"/>
      <c r="J55" s="10"/>
    </row>
    <row r="56" spans="1:10" ht="18.75" thickBot="1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</row>
    <row r="58" spans="1:10" ht="19.5" thickBot="1" x14ac:dyDescent="0.3">
      <c r="A58" s="137" t="s">
        <v>112</v>
      </c>
      <c r="B58" s="141"/>
      <c r="C58" s="141"/>
      <c r="D58" s="141"/>
      <c r="E58" s="141"/>
      <c r="F58" s="141"/>
      <c r="G58" s="141"/>
      <c r="H58" s="137" t="s">
        <v>18</v>
      </c>
      <c r="I58" s="141"/>
      <c r="J58" s="84">
        <v>130</v>
      </c>
    </row>
    <row r="59" spans="1:10" ht="18.75" thickBot="1" x14ac:dyDescent="0.3">
      <c r="A59" s="11" t="s">
        <v>9</v>
      </c>
      <c r="B59" s="12"/>
      <c r="C59" s="12" t="s">
        <v>10</v>
      </c>
      <c r="D59" s="12" t="s">
        <v>20</v>
      </c>
      <c r="E59" s="85" t="s">
        <v>21</v>
      </c>
      <c r="F59" s="12" t="s">
        <v>9</v>
      </c>
      <c r="G59" s="12"/>
      <c r="H59" s="12" t="s">
        <v>10</v>
      </c>
      <c r="I59" s="12" t="s">
        <v>20</v>
      </c>
      <c r="J59" s="85" t="s">
        <v>22</v>
      </c>
    </row>
    <row r="60" spans="1:10" x14ac:dyDescent="0.25">
      <c r="A60" s="15"/>
      <c r="B60" s="10">
        <v>4</v>
      </c>
      <c r="C60" s="10"/>
      <c r="D60" s="10">
        <v>1</v>
      </c>
      <c r="E60" s="10">
        <v>1200</v>
      </c>
      <c r="F60" s="10"/>
      <c r="G60" s="10"/>
      <c r="H60" s="10"/>
      <c r="I60" s="9"/>
      <c r="J60" s="23"/>
    </row>
    <row r="61" spans="1:10" x14ac:dyDescent="0.25">
      <c r="A61" s="15"/>
      <c r="B61" s="10"/>
      <c r="C61" s="10"/>
      <c r="D61" s="10"/>
      <c r="E61" s="10"/>
      <c r="F61" s="10"/>
      <c r="G61" s="10"/>
      <c r="H61" s="10"/>
      <c r="I61" s="9"/>
      <c r="J61" s="29"/>
    </row>
    <row r="62" spans="1:10" x14ac:dyDescent="0.25">
      <c r="A62" s="15"/>
      <c r="B62" s="10"/>
      <c r="C62" s="10"/>
      <c r="D62" s="9"/>
      <c r="E62" s="55"/>
      <c r="F62" s="10"/>
      <c r="G62" s="10"/>
      <c r="H62" s="10"/>
      <c r="I62" s="10"/>
      <c r="J62" s="10"/>
    </row>
    <row r="63" spans="1:10" x14ac:dyDescent="0.25">
      <c r="A63" s="15"/>
      <c r="B63" s="10"/>
      <c r="C63" s="10"/>
      <c r="D63" s="10"/>
      <c r="E63" s="10"/>
      <c r="F63" s="10"/>
      <c r="G63" s="10"/>
      <c r="H63" s="10"/>
      <c r="I63" s="10"/>
      <c r="J63" s="10"/>
    </row>
    <row r="64" spans="1:10" x14ac:dyDescent="0.25">
      <c r="A64" s="15"/>
      <c r="B64" s="10"/>
      <c r="C64" s="10"/>
      <c r="D64" s="10"/>
      <c r="E64" s="10"/>
      <c r="F64" s="10"/>
      <c r="G64" s="10"/>
      <c r="H64" s="10"/>
      <c r="I64" s="10"/>
      <c r="J64" s="10"/>
    </row>
    <row r="65" spans="1:10" x14ac:dyDescent="0.25">
      <c r="A65" s="15"/>
      <c r="B65" s="10"/>
      <c r="C65" s="10"/>
      <c r="D65" s="10"/>
      <c r="E65" s="10"/>
      <c r="F65" s="10"/>
      <c r="G65" s="10"/>
      <c r="H65" s="10"/>
      <c r="I65" s="10"/>
      <c r="J65" s="10"/>
    </row>
    <row r="66" spans="1:10" x14ac:dyDescent="0.25">
      <c r="A66" s="15"/>
      <c r="B66" s="10"/>
      <c r="C66" s="10"/>
      <c r="D66" s="10"/>
      <c r="E66" s="10"/>
      <c r="F66" s="10"/>
      <c r="G66" s="10"/>
      <c r="H66" s="10"/>
      <c r="I66" s="10"/>
      <c r="J66" s="10"/>
    </row>
    <row r="67" spans="1:10" x14ac:dyDescent="0.25">
      <c r="A67" s="15"/>
      <c r="B67" s="10"/>
      <c r="C67" s="10"/>
      <c r="D67" s="10"/>
      <c r="E67" s="10"/>
      <c r="F67" s="10"/>
      <c r="G67" s="10"/>
      <c r="H67" s="10"/>
      <c r="I67" s="10"/>
      <c r="J67" s="10"/>
    </row>
    <row r="68" spans="1:10" ht="18.75" thickBot="1" x14ac:dyDescent="0.3">
      <c r="A68" s="16"/>
      <c r="B68" s="17"/>
      <c r="C68" s="17"/>
      <c r="D68" s="17"/>
      <c r="E68" s="17"/>
      <c r="F68" s="17"/>
      <c r="G68" s="17"/>
      <c r="H68" s="17"/>
      <c r="I68" s="17"/>
      <c r="J68" s="17"/>
    </row>
    <row r="70" spans="1:10" ht="19.5" thickBot="1" x14ac:dyDescent="0.3">
      <c r="A70" s="137" t="s">
        <v>91</v>
      </c>
      <c r="B70" s="141"/>
      <c r="C70" s="141"/>
      <c r="D70" s="141"/>
      <c r="E70" s="141"/>
      <c r="F70" s="141"/>
      <c r="G70" s="141"/>
      <c r="H70" s="137" t="s">
        <v>18</v>
      </c>
      <c r="I70" s="141"/>
      <c r="J70" s="84">
        <v>200</v>
      </c>
    </row>
    <row r="71" spans="1:10" ht="18.75" thickBot="1" x14ac:dyDescent="0.3">
      <c r="A71" s="11" t="s">
        <v>9</v>
      </c>
      <c r="B71" s="12"/>
      <c r="C71" s="12" t="s">
        <v>10</v>
      </c>
      <c r="D71" s="12" t="s">
        <v>20</v>
      </c>
      <c r="E71" s="85" t="s">
        <v>21</v>
      </c>
      <c r="F71" s="12" t="s">
        <v>9</v>
      </c>
      <c r="G71" s="12"/>
      <c r="H71" s="12" t="s">
        <v>10</v>
      </c>
      <c r="I71" s="12" t="s">
        <v>20</v>
      </c>
      <c r="J71" s="85" t="s">
        <v>22</v>
      </c>
    </row>
    <row r="72" spans="1:10" x14ac:dyDescent="0.25">
      <c r="A72" s="15"/>
      <c r="B72" s="10">
        <v>23</v>
      </c>
      <c r="C72" s="10"/>
      <c r="D72" s="10">
        <v>1</v>
      </c>
      <c r="E72" s="10">
        <v>400</v>
      </c>
      <c r="F72" s="10" t="s">
        <v>71</v>
      </c>
      <c r="G72" s="10">
        <v>4</v>
      </c>
      <c r="H72" s="10"/>
      <c r="I72" s="9">
        <v>1</v>
      </c>
      <c r="J72" s="64">
        <v>1200</v>
      </c>
    </row>
    <row r="73" spans="1:10" x14ac:dyDescent="0.25">
      <c r="A73" s="15"/>
      <c r="B73" s="10"/>
      <c r="C73" s="10"/>
      <c r="D73" s="10"/>
      <c r="E73" s="10"/>
      <c r="F73" s="10"/>
      <c r="G73" s="10"/>
      <c r="H73" s="10"/>
      <c r="I73" s="10"/>
      <c r="J73" s="10"/>
    </row>
    <row r="74" spans="1:10" x14ac:dyDescent="0.25">
      <c r="A74" s="15"/>
      <c r="B74" s="10"/>
      <c r="C74" s="10"/>
      <c r="D74" s="10"/>
      <c r="E74" s="10"/>
      <c r="F74" s="10"/>
      <c r="G74" s="10"/>
      <c r="H74" s="10"/>
      <c r="I74" s="10"/>
      <c r="J74" s="10"/>
    </row>
    <row r="75" spans="1:10" x14ac:dyDescent="0.25">
      <c r="A75" s="15"/>
      <c r="B75" s="10"/>
      <c r="C75" s="10"/>
      <c r="D75" s="10"/>
      <c r="E75" s="10"/>
      <c r="F75" s="10"/>
      <c r="G75" s="10"/>
      <c r="H75" s="10"/>
      <c r="I75" s="10"/>
      <c r="J75" s="10"/>
    </row>
    <row r="76" spans="1:10" x14ac:dyDescent="0.25">
      <c r="A76" s="15"/>
      <c r="B76" s="10"/>
      <c r="C76" s="10"/>
      <c r="D76" s="10"/>
      <c r="E76" s="10"/>
      <c r="F76" s="10"/>
      <c r="G76" s="10"/>
      <c r="H76" s="10"/>
      <c r="I76" s="10"/>
      <c r="J76" s="10"/>
    </row>
    <row r="77" spans="1:10" x14ac:dyDescent="0.25">
      <c r="A77" s="15"/>
      <c r="B77" s="10"/>
      <c r="C77" s="10"/>
      <c r="D77" s="10"/>
      <c r="E77" s="10"/>
      <c r="F77" s="10"/>
      <c r="G77" s="10"/>
      <c r="H77" s="10"/>
      <c r="I77" s="10"/>
      <c r="J77" s="10"/>
    </row>
    <row r="78" spans="1:10" x14ac:dyDescent="0.25">
      <c r="A78" s="15"/>
      <c r="B78" s="10"/>
      <c r="C78" s="10"/>
      <c r="D78" s="10"/>
      <c r="E78" s="10"/>
      <c r="F78" s="10"/>
      <c r="G78" s="10"/>
      <c r="H78" s="10"/>
      <c r="I78" s="10"/>
      <c r="J78" s="10"/>
    </row>
    <row r="79" spans="1:10" x14ac:dyDescent="0.25">
      <c r="A79" s="15"/>
      <c r="B79" s="10"/>
      <c r="C79" s="10"/>
      <c r="D79" s="10"/>
      <c r="E79" s="10"/>
      <c r="F79" s="10"/>
      <c r="G79" s="10"/>
      <c r="H79" s="10"/>
      <c r="I79" s="10"/>
      <c r="J79" s="10"/>
    </row>
    <row r="80" spans="1:10" ht="18.75" thickBot="1" x14ac:dyDescent="0.3">
      <c r="A80" s="16"/>
      <c r="B80" s="17"/>
      <c r="C80" s="17"/>
      <c r="D80" s="17"/>
      <c r="E80" s="17"/>
      <c r="F80" s="17"/>
      <c r="G80" s="17"/>
      <c r="H80" s="17"/>
      <c r="I80" s="17"/>
      <c r="J80" s="17"/>
    </row>
    <row r="82" spans="1:10" ht="19.5" thickBot="1" x14ac:dyDescent="0.3">
      <c r="A82" s="137" t="s">
        <v>1</v>
      </c>
      <c r="B82" s="141"/>
      <c r="C82" s="141"/>
      <c r="D82" s="141"/>
      <c r="E82" s="141"/>
      <c r="F82" s="141"/>
      <c r="G82" s="141"/>
      <c r="H82" s="137" t="s">
        <v>18</v>
      </c>
      <c r="I82" s="141"/>
      <c r="J82" s="84">
        <v>300</v>
      </c>
    </row>
    <row r="83" spans="1:10" ht="18.75" thickBot="1" x14ac:dyDescent="0.3">
      <c r="A83" s="11" t="s">
        <v>9</v>
      </c>
      <c r="B83" s="12"/>
      <c r="C83" s="12" t="s">
        <v>10</v>
      </c>
      <c r="D83" s="12" t="s">
        <v>20</v>
      </c>
      <c r="E83" s="85" t="s">
        <v>21</v>
      </c>
      <c r="F83" s="12" t="s">
        <v>9</v>
      </c>
      <c r="G83" s="12"/>
      <c r="H83" s="12" t="s">
        <v>10</v>
      </c>
      <c r="I83" s="12" t="s">
        <v>20</v>
      </c>
      <c r="J83" s="85" t="s">
        <v>22</v>
      </c>
    </row>
    <row r="84" spans="1:10" x14ac:dyDescent="0.25">
      <c r="A84" s="15"/>
      <c r="B84" s="10"/>
      <c r="C84" s="10"/>
      <c r="D84" s="10"/>
      <c r="E84" s="10"/>
      <c r="F84" s="10" t="s">
        <v>71</v>
      </c>
      <c r="G84" s="10">
        <v>1</v>
      </c>
      <c r="H84" s="10"/>
      <c r="I84" s="9">
        <v>1</v>
      </c>
      <c r="J84" s="64">
        <v>150000</v>
      </c>
    </row>
    <row r="85" spans="1:10" x14ac:dyDescent="0.25">
      <c r="A85" s="15"/>
      <c r="B85" s="10"/>
      <c r="C85" s="10"/>
      <c r="D85" s="10"/>
      <c r="E85" s="10"/>
      <c r="F85" s="10"/>
      <c r="G85" s="10"/>
      <c r="H85" s="10"/>
      <c r="I85" s="10"/>
      <c r="J85" s="10"/>
    </row>
    <row r="86" spans="1:10" x14ac:dyDescent="0.25">
      <c r="A86" s="15"/>
      <c r="B86" s="10"/>
      <c r="C86" s="10"/>
      <c r="D86" s="10"/>
      <c r="E86" s="10"/>
      <c r="F86" s="10"/>
      <c r="G86" s="10"/>
      <c r="H86" s="10"/>
      <c r="I86" s="10"/>
      <c r="J86" s="10"/>
    </row>
    <row r="87" spans="1:10" x14ac:dyDescent="0.25">
      <c r="A87" s="15"/>
      <c r="B87" s="10"/>
      <c r="C87" s="10"/>
      <c r="D87" s="10"/>
      <c r="E87" s="10"/>
      <c r="F87" s="10"/>
      <c r="G87" s="10"/>
      <c r="H87" s="10"/>
      <c r="I87" s="10"/>
      <c r="J87" s="10"/>
    </row>
    <row r="88" spans="1:10" x14ac:dyDescent="0.25">
      <c r="A88" s="15"/>
      <c r="B88" s="10"/>
      <c r="C88" s="10"/>
      <c r="D88" s="10"/>
      <c r="E88" s="10"/>
      <c r="F88" s="10"/>
      <c r="G88" s="10"/>
      <c r="H88" s="10"/>
      <c r="I88" s="10"/>
      <c r="J88" s="10"/>
    </row>
    <row r="89" spans="1:10" x14ac:dyDescent="0.25">
      <c r="A89" s="15"/>
      <c r="B89" s="10"/>
      <c r="C89" s="10"/>
      <c r="D89" s="10"/>
      <c r="E89" s="10"/>
      <c r="F89" s="10"/>
      <c r="G89" s="10"/>
      <c r="H89" s="10"/>
      <c r="I89" s="10"/>
      <c r="J89" s="10"/>
    </row>
    <row r="90" spans="1:10" x14ac:dyDescent="0.25">
      <c r="A90" s="15"/>
      <c r="B90" s="10"/>
      <c r="C90" s="10"/>
      <c r="D90" s="10"/>
      <c r="E90" s="10"/>
      <c r="F90" s="10"/>
      <c r="G90" s="10"/>
      <c r="H90" s="10"/>
      <c r="I90" s="10"/>
      <c r="J90" s="10"/>
    </row>
    <row r="91" spans="1:10" x14ac:dyDescent="0.25">
      <c r="A91" s="15"/>
      <c r="B91" s="10"/>
      <c r="C91" s="10"/>
      <c r="D91" s="10"/>
      <c r="E91" s="10"/>
      <c r="F91" s="10"/>
      <c r="G91" s="10"/>
      <c r="H91" s="10"/>
      <c r="I91" s="10"/>
      <c r="J91" s="10"/>
    </row>
    <row r="92" spans="1:10" ht="18.75" thickBot="1" x14ac:dyDescent="0.3">
      <c r="A92" s="16"/>
      <c r="B92" s="17"/>
      <c r="C92" s="17"/>
      <c r="D92" s="17"/>
      <c r="E92" s="17"/>
      <c r="F92" s="17"/>
      <c r="G92" s="17"/>
      <c r="H92" s="17"/>
      <c r="I92" s="17"/>
      <c r="J92" s="17"/>
    </row>
    <row r="94" spans="1:10" ht="19.5" thickBot="1" x14ac:dyDescent="0.3">
      <c r="A94" s="137" t="s">
        <v>140</v>
      </c>
      <c r="B94" s="141"/>
      <c r="C94" s="141"/>
      <c r="D94" s="141"/>
      <c r="E94" s="141"/>
      <c r="F94" s="141"/>
      <c r="G94" s="141"/>
      <c r="H94" s="137" t="s">
        <v>18</v>
      </c>
      <c r="I94" s="141"/>
      <c r="J94" s="84">
        <v>400</v>
      </c>
    </row>
    <row r="95" spans="1:10" ht="18.75" thickBot="1" x14ac:dyDescent="0.3">
      <c r="A95" s="11" t="s">
        <v>9</v>
      </c>
      <c r="B95" s="12"/>
      <c r="C95" s="12" t="s">
        <v>10</v>
      </c>
      <c r="D95" s="12" t="s">
        <v>20</v>
      </c>
      <c r="E95" s="85" t="s">
        <v>21</v>
      </c>
      <c r="F95" s="12" t="s">
        <v>9</v>
      </c>
      <c r="G95" s="12"/>
      <c r="H95" s="12" t="s">
        <v>10</v>
      </c>
      <c r="I95" s="12" t="s">
        <v>20</v>
      </c>
      <c r="J95" s="85" t="s">
        <v>22</v>
      </c>
    </row>
    <row r="96" spans="1:10" x14ac:dyDescent="0.25">
      <c r="A96" s="15"/>
      <c r="B96" s="10"/>
      <c r="C96" s="10"/>
      <c r="D96" s="9"/>
      <c r="E96" s="65"/>
      <c r="F96" s="10" t="s">
        <v>71</v>
      </c>
      <c r="G96" s="10">
        <v>6</v>
      </c>
      <c r="H96" s="10"/>
      <c r="I96" s="10">
        <v>1</v>
      </c>
      <c r="J96" s="64">
        <v>3000</v>
      </c>
    </row>
    <row r="97" spans="1:10" x14ac:dyDescent="0.25">
      <c r="A97" s="15"/>
      <c r="B97" s="10"/>
      <c r="C97" s="10"/>
      <c r="D97" s="10"/>
      <c r="E97" s="10"/>
      <c r="F97" s="10"/>
      <c r="G97" s="10">
        <v>17</v>
      </c>
      <c r="H97" s="10"/>
      <c r="I97" s="10">
        <v>1</v>
      </c>
      <c r="J97" s="115">
        <v>1600</v>
      </c>
    </row>
    <row r="98" spans="1:10" x14ac:dyDescent="0.25">
      <c r="A98" s="15"/>
      <c r="B98" s="10"/>
      <c r="C98" s="10"/>
      <c r="D98" s="10"/>
      <c r="E98" s="10"/>
      <c r="F98" s="10"/>
      <c r="G98" s="10">
        <v>19</v>
      </c>
      <c r="H98" s="10"/>
      <c r="I98" s="10">
        <v>1</v>
      </c>
      <c r="J98" s="115">
        <v>2500</v>
      </c>
    </row>
    <row r="99" spans="1:10" x14ac:dyDescent="0.25">
      <c r="A99" s="15"/>
      <c r="B99" s="10"/>
      <c r="C99" s="10"/>
      <c r="D99" s="10"/>
      <c r="E99" s="10"/>
      <c r="F99" s="10"/>
      <c r="G99" s="10"/>
      <c r="H99" s="10"/>
      <c r="I99" s="10"/>
      <c r="J99" s="10"/>
    </row>
    <row r="100" spans="1:10" x14ac:dyDescent="0.25">
      <c r="A100" s="15"/>
      <c r="B100" s="10"/>
      <c r="C100" s="10"/>
      <c r="D100" s="10"/>
      <c r="E100" s="10"/>
      <c r="F100" s="10"/>
      <c r="G100" s="10"/>
      <c r="H100" s="10"/>
      <c r="I100" s="10"/>
      <c r="J100" s="10"/>
    </row>
    <row r="101" spans="1:10" x14ac:dyDescent="0.25">
      <c r="A101" s="15"/>
      <c r="B101" s="10"/>
      <c r="C101" s="10"/>
      <c r="D101" s="10"/>
      <c r="E101" s="10"/>
      <c r="F101" s="10"/>
      <c r="G101" s="10"/>
      <c r="H101" s="10"/>
      <c r="I101" s="10"/>
      <c r="J101" s="10"/>
    </row>
    <row r="102" spans="1:10" x14ac:dyDescent="0.25">
      <c r="A102" s="15"/>
      <c r="B102" s="10"/>
      <c r="C102" s="10"/>
      <c r="D102" s="10"/>
      <c r="E102" s="10"/>
      <c r="F102" s="10"/>
      <c r="G102" s="10"/>
      <c r="H102" s="10"/>
      <c r="I102" s="10"/>
      <c r="J102" s="10"/>
    </row>
    <row r="103" spans="1:10" x14ac:dyDescent="0.25">
      <c r="A103" s="15"/>
      <c r="B103" s="10"/>
      <c r="C103" s="10"/>
      <c r="D103" s="10"/>
      <c r="E103" s="10"/>
      <c r="F103" s="10"/>
      <c r="G103" s="10"/>
      <c r="H103" s="10"/>
      <c r="I103" s="10"/>
      <c r="J103" s="10"/>
    </row>
    <row r="104" spans="1:10" ht="18.75" thickBot="1" x14ac:dyDescent="0.3">
      <c r="A104" s="16"/>
      <c r="B104" s="17"/>
      <c r="C104" s="17"/>
      <c r="D104" s="17"/>
      <c r="E104" s="17"/>
      <c r="F104" s="17"/>
      <c r="G104" s="17"/>
      <c r="H104" s="17"/>
      <c r="I104" s="17"/>
      <c r="J104" s="17"/>
    </row>
    <row r="106" spans="1:10" ht="19.5" thickBot="1" x14ac:dyDescent="0.3">
      <c r="A106" s="137" t="s">
        <v>141</v>
      </c>
      <c r="B106" s="141"/>
      <c r="C106" s="141"/>
      <c r="D106" s="141"/>
      <c r="E106" s="141"/>
      <c r="F106" s="141"/>
      <c r="G106" s="141"/>
      <c r="H106" s="137" t="s">
        <v>18</v>
      </c>
      <c r="I106" s="141"/>
      <c r="J106" s="84">
        <v>600</v>
      </c>
    </row>
    <row r="107" spans="1:10" ht="18.75" thickBot="1" x14ac:dyDescent="0.3">
      <c r="A107" s="11" t="s">
        <v>9</v>
      </c>
      <c r="B107" s="12"/>
      <c r="C107" s="12" t="s">
        <v>10</v>
      </c>
      <c r="D107" s="12" t="s">
        <v>20</v>
      </c>
      <c r="E107" s="85" t="s">
        <v>21</v>
      </c>
      <c r="F107" s="12" t="s">
        <v>9</v>
      </c>
      <c r="G107" s="12"/>
      <c r="H107" s="12" t="s">
        <v>10</v>
      </c>
      <c r="I107" s="12" t="s">
        <v>20</v>
      </c>
      <c r="J107" s="85" t="s">
        <v>22</v>
      </c>
    </row>
    <row r="108" spans="1:10" x14ac:dyDescent="0.25">
      <c r="A108" s="117" t="s">
        <v>71</v>
      </c>
      <c r="B108" s="116">
        <v>31</v>
      </c>
      <c r="C108" s="116"/>
      <c r="D108" s="9">
        <v>1</v>
      </c>
      <c r="E108" s="121">
        <v>2200</v>
      </c>
      <c r="F108" s="10"/>
      <c r="G108" s="10"/>
      <c r="H108" s="10"/>
      <c r="I108" s="10"/>
      <c r="J108" s="64"/>
    </row>
    <row r="109" spans="1:10" x14ac:dyDescent="0.25">
      <c r="A109" s="15"/>
      <c r="B109" s="10"/>
      <c r="C109" s="10"/>
      <c r="D109" s="10"/>
      <c r="E109" s="10"/>
      <c r="F109" s="10"/>
      <c r="G109" s="10"/>
      <c r="H109" s="10"/>
      <c r="I109" s="10"/>
      <c r="J109" s="10"/>
    </row>
    <row r="110" spans="1:10" x14ac:dyDescent="0.25">
      <c r="A110" s="15"/>
      <c r="B110" s="10"/>
      <c r="C110" s="10"/>
      <c r="D110" s="10"/>
      <c r="E110" s="10"/>
      <c r="F110" s="10"/>
      <c r="G110" s="10"/>
      <c r="H110" s="10"/>
      <c r="I110" s="10"/>
      <c r="J110" s="10"/>
    </row>
    <row r="111" spans="1:10" x14ac:dyDescent="0.25">
      <c r="A111" s="15"/>
      <c r="B111" s="10"/>
      <c r="C111" s="10"/>
      <c r="D111" s="10"/>
      <c r="E111" s="10"/>
      <c r="F111" s="10"/>
      <c r="G111" s="10"/>
      <c r="H111" s="10"/>
      <c r="I111" s="10"/>
      <c r="J111" s="10"/>
    </row>
    <row r="112" spans="1:10" x14ac:dyDescent="0.25">
      <c r="A112" s="15"/>
      <c r="B112" s="10"/>
      <c r="C112" s="10"/>
      <c r="D112" s="10"/>
      <c r="E112" s="10"/>
      <c r="F112" s="10"/>
      <c r="G112" s="10"/>
      <c r="H112" s="10"/>
      <c r="I112" s="10"/>
      <c r="J112" s="10"/>
    </row>
    <row r="113" spans="1:10" x14ac:dyDescent="0.25">
      <c r="A113" s="15"/>
      <c r="B113" s="10"/>
      <c r="C113" s="10"/>
      <c r="D113" s="10"/>
      <c r="E113" s="10"/>
      <c r="F113" s="10"/>
      <c r="G113" s="10"/>
      <c r="H113" s="10"/>
      <c r="I113" s="10"/>
      <c r="J113" s="10"/>
    </row>
    <row r="114" spans="1:10" x14ac:dyDescent="0.25">
      <c r="A114" s="15"/>
      <c r="B114" s="10"/>
      <c r="C114" s="10"/>
      <c r="D114" s="10"/>
      <c r="E114" s="10"/>
      <c r="F114" s="10"/>
      <c r="G114" s="10"/>
      <c r="H114" s="10"/>
      <c r="I114" s="10"/>
      <c r="J114" s="10"/>
    </row>
    <row r="115" spans="1:10" x14ac:dyDescent="0.25">
      <c r="A115" s="15"/>
      <c r="B115" s="10"/>
      <c r="C115" s="10"/>
      <c r="D115" s="10"/>
      <c r="E115" s="10"/>
      <c r="F115" s="10"/>
      <c r="G115" s="10"/>
      <c r="H115" s="10"/>
      <c r="I115" s="10"/>
      <c r="J115" s="10"/>
    </row>
    <row r="116" spans="1:10" ht="18.75" thickBot="1" x14ac:dyDescent="0.3">
      <c r="A116" s="16"/>
      <c r="B116" s="17"/>
      <c r="C116" s="17"/>
      <c r="D116" s="17"/>
      <c r="E116" s="17"/>
      <c r="F116" s="17"/>
      <c r="G116" s="17"/>
      <c r="H116" s="17"/>
      <c r="I116" s="17"/>
      <c r="J116" s="17"/>
    </row>
    <row r="118" spans="1:10" ht="19.5" thickBot="1" x14ac:dyDescent="0.3">
      <c r="A118" s="137" t="s">
        <v>142</v>
      </c>
      <c r="B118" s="141"/>
      <c r="C118" s="141"/>
      <c r="D118" s="141"/>
      <c r="E118" s="141"/>
      <c r="F118" s="141"/>
      <c r="G118" s="141"/>
      <c r="H118" s="137" t="s">
        <v>18</v>
      </c>
      <c r="I118" s="141"/>
      <c r="J118" s="84">
        <v>601</v>
      </c>
    </row>
    <row r="119" spans="1:10" ht="18.75" thickBot="1" x14ac:dyDescent="0.3">
      <c r="A119" s="13" t="s">
        <v>9</v>
      </c>
      <c r="B119" s="14"/>
      <c r="C119" s="14" t="s">
        <v>10</v>
      </c>
      <c r="D119" s="14" t="s">
        <v>20</v>
      </c>
      <c r="E119" s="86" t="s">
        <v>21</v>
      </c>
      <c r="F119" s="12" t="s">
        <v>9</v>
      </c>
      <c r="G119" s="12"/>
      <c r="H119" s="12" t="s">
        <v>10</v>
      </c>
      <c r="I119" s="12" t="s">
        <v>20</v>
      </c>
      <c r="J119" s="85" t="s">
        <v>22</v>
      </c>
    </row>
    <row r="120" spans="1:10" x14ac:dyDescent="0.25">
      <c r="A120" s="116" t="s">
        <v>71</v>
      </c>
      <c r="B120" s="116">
        <v>31</v>
      </c>
      <c r="C120" s="116"/>
      <c r="D120" s="116">
        <v>1</v>
      </c>
      <c r="E120" s="116">
        <v>25</v>
      </c>
      <c r="F120" s="116"/>
      <c r="G120" s="116"/>
      <c r="H120" s="116"/>
      <c r="I120" s="116"/>
      <c r="J120" s="120"/>
    </row>
    <row r="121" spans="1:10" x14ac:dyDescent="0.25">
      <c r="A121" s="117"/>
      <c r="B121" s="116"/>
      <c r="C121" s="116"/>
      <c r="D121" s="116"/>
      <c r="E121" s="116"/>
      <c r="F121" s="116"/>
      <c r="G121" s="116"/>
      <c r="H121" s="116"/>
      <c r="I121" s="116"/>
      <c r="J121" s="116"/>
    </row>
    <row r="122" spans="1:10" x14ac:dyDescent="0.25">
      <c r="A122" s="117"/>
      <c r="B122" s="116"/>
      <c r="C122" s="116"/>
      <c r="D122" s="116"/>
      <c r="E122" s="116"/>
      <c r="F122" s="116"/>
      <c r="G122" s="116"/>
      <c r="H122" s="116"/>
      <c r="I122" s="116"/>
      <c r="J122" s="116"/>
    </row>
    <row r="123" spans="1:10" x14ac:dyDescent="0.25">
      <c r="A123" s="117"/>
      <c r="B123" s="116"/>
      <c r="C123" s="116"/>
      <c r="D123" s="116"/>
      <c r="E123" s="116"/>
      <c r="F123" s="116"/>
      <c r="G123" s="116"/>
      <c r="H123" s="116"/>
      <c r="I123" s="116"/>
      <c r="J123" s="116"/>
    </row>
    <row r="124" spans="1:10" x14ac:dyDescent="0.25">
      <c r="A124" s="117"/>
      <c r="B124" s="116"/>
      <c r="C124" s="116"/>
      <c r="D124" s="116"/>
      <c r="E124" s="116"/>
      <c r="F124" s="116"/>
      <c r="G124" s="116"/>
      <c r="H124" s="116"/>
      <c r="I124" s="116"/>
      <c r="J124" s="116"/>
    </row>
    <row r="125" spans="1:10" x14ac:dyDescent="0.25">
      <c r="A125" s="117"/>
      <c r="B125" s="116"/>
      <c r="C125" s="116"/>
      <c r="D125" s="116"/>
      <c r="E125" s="116"/>
      <c r="F125" s="116"/>
      <c r="G125" s="116"/>
      <c r="H125" s="116"/>
      <c r="I125" s="116"/>
      <c r="J125" s="116"/>
    </row>
    <row r="126" spans="1:10" x14ac:dyDescent="0.25">
      <c r="A126" s="117"/>
      <c r="B126" s="116"/>
      <c r="C126" s="116"/>
      <c r="D126" s="116"/>
      <c r="E126" s="116"/>
      <c r="F126" s="116"/>
      <c r="G126" s="116"/>
      <c r="H126" s="116"/>
      <c r="I126" s="116"/>
      <c r="J126" s="116"/>
    </row>
    <row r="127" spans="1:10" x14ac:dyDescent="0.25">
      <c r="A127" s="117"/>
      <c r="B127" s="116"/>
      <c r="C127" s="116"/>
      <c r="D127" s="116"/>
      <c r="E127" s="116"/>
      <c r="F127" s="116"/>
      <c r="G127" s="116"/>
      <c r="H127" s="116"/>
      <c r="I127" s="116"/>
      <c r="J127" s="116"/>
    </row>
    <row r="128" spans="1:10" ht="18.75" thickBot="1" x14ac:dyDescent="0.3">
      <c r="A128" s="118"/>
      <c r="B128" s="119"/>
      <c r="C128" s="119"/>
      <c r="D128" s="119"/>
      <c r="E128" s="119"/>
      <c r="F128" s="119"/>
      <c r="G128" s="119"/>
      <c r="H128" s="119"/>
      <c r="I128" s="119"/>
      <c r="J128" s="119"/>
    </row>
  </sheetData>
  <mergeCells count="25">
    <mergeCell ref="A46:G46"/>
    <mergeCell ref="H46:I46"/>
    <mergeCell ref="A1:J1"/>
    <mergeCell ref="A13:J13"/>
    <mergeCell ref="A3:J3"/>
    <mergeCell ref="H2:I2"/>
    <mergeCell ref="A2:G2"/>
    <mergeCell ref="A14:G14"/>
    <mergeCell ref="H14:I14"/>
    <mergeCell ref="A24:G24"/>
    <mergeCell ref="H24:I24"/>
    <mergeCell ref="A34:G34"/>
    <mergeCell ref="H34:I34"/>
    <mergeCell ref="A82:G82"/>
    <mergeCell ref="H82:I82"/>
    <mergeCell ref="A70:G70"/>
    <mergeCell ref="H70:I70"/>
    <mergeCell ref="A58:G58"/>
    <mergeCell ref="H58:I58"/>
    <mergeCell ref="A106:G106"/>
    <mergeCell ref="H106:I106"/>
    <mergeCell ref="A118:G118"/>
    <mergeCell ref="H118:I118"/>
    <mergeCell ref="A94:G94"/>
    <mergeCell ref="H94:I94"/>
  </mergeCells>
  <phoneticPr fontId="4" type="noConversion"/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9"/>
  <sheetViews>
    <sheetView workbookViewId="0">
      <selection activeCell="G9" sqref="G9"/>
    </sheetView>
  </sheetViews>
  <sheetFormatPr defaultColWidth="10.8515625" defaultRowHeight="18.75" x14ac:dyDescent="0.25"/>
  <cols>
    <col min="1" max="1" width="37.609375" style="1" customWidth="1"/>
    <col min="2" max="2" width="22.93359375" style="1" customWidth="1"/>
    <col min="3" max="3" width="1.23046875" style="1" customWidth="1"/>
    <col min="4" max="4" width="22.93359375" style="1" customWidth="1"/>
    <col min="5" max="16384" width="10.8515625" style="1"/>
  </cols>
  <sheetData>
    <row r="1" spans="1:4" x14ac:dyDescent="0.25">
      <c r="A1" s="147"/>
      <c r="B1" s="147"/>
      <c r="C1" s="147"/>
      <c r="D1" s="147"/>
    </row>
    <row r="2" spans="1:4" x14ac:dyDescent="0.25">
      <c r="A2" s="148" t="s">
        <v>24</v>
      </c>
      <c r="B2" s="148"/>
      <c r="C2" s="148"/>
      <c r="D2" s="148"/>
    </row>
    <row r="3" spans="1:4" x14ac:dyDescent="0.25">
      <c r="A3" s="148" t="s">
        <v>113</v>
      </c>
      <c r="B3" s="148"/>
      <c r="C3" s="148"/>
      <c r="D3" s="148"/>
    </row>
    <row r="4" spans="1:4" x14ac:dyDescent="0.25">
      <c r="A4" s="148" t="s">
        <v>25</v>
      </c>
      <c r="B4" s="148"/>
      <c r="C4" s="148"/>
      <c r="D4" s="148"/>
    </row>
    <row r="5" spans="1:4" x14ac:dyDescent="0.25">
      <c r="A5" s="149"/>
      <c r="B5" s="149"/>
      <c r="C5" s="149"/>
      <c r="D5" s="149"/>
    </row>
    <row r="6" spans="1:4" s="8" customFormat="1" x14ac:dyDescent="0.25">
      <c r="A6" s="20" t="s">
        <v>26</v>
      </c>
      <c r="B6" s="21"/>
      <c r="C6" s="145"/>
      <c r="D6" s="22"/>
    </row>
    <row r="7" spans="1:4" x14ac:dyDescent="0.25">
      <c r="A7" s="18" t="s">
        <v>70</v>
      </c>
      <c r="B7" s="41">
        <v>50000</v>
      </c>
      <c r="C7" s="146"/>
      <c r="D7" s="19"/>
    </row>
    <row r="8" spans="1:4" x14ac:dyDescent="0.25">
      <c r="A8" s="18" t="s">
        <v>85</v>
      </c>
      <c r="B8" s="41">
        <v>175</v>
      </c>
      <c r="C8" s="146"/>
      <c r="D8" s="19"/>
    </row>
    <row r="9" spans="1:4" x14ac:dyDescent="0.25">
      <c r="A9" s="18" t="s">
        <v>74</v>
      </c>
      <c r="B9" s="41">
        <v>61800</v>
      </c>
      <c r="C9" s="146"/>
      <c r="D9" s="19"/>
    </row>
    <row r="10" spans="1:4" x14ac:dyDescent="0.25">
      <c r="A10" s="18" t="s">
        <v>114</v>
      </c>
      <c r="B10" s="41">
        <v>2500</v>
      </c>
      <c r="C10" s="146"/>
      <c r="D10" s="19"/>
    </row>
    <row r="11" spans="1:4" x14ac:dyDescent="0.25">
      <c r="A11" s="1" t="s">
        <v>80</v>
      </c>
      <c r="B11" s="102">
        <v>40000</v>
      </c>
      <c r="C11" s="146"/>
      <c r="D11" s="19"/>
    </row>
    <row r="12" spans="1:4" x14ac:dyDescent="0.25">
      <c r="A12" s="18" t="s">
        <v>112</v>
      </c>
      <c r="B12" s="41">
        <v>1200</v>
      </c>
      <c r="C12" s="146"/>
      <c r="D12" s="19"/>
    </row>
    <row r="13" spans="1:4" x14ac:dyDescent="0.25">
      <c r="A13" s="18" t="s">
        <v>115</v>
      </c>
      <c r="C13" s="146"/>
      <c r="D13" s="43">
        <v>800</v>
      </c>
    </row>
    <row r="14" spans="1:4" x14ac:dyDescent="0.25">
      <c r="A14" s="1" t="s">
        <v>116</v>
      </c>
      <c r="B14" s="2"/>
      <c r="C14" s="146"/>
      <c r="D14" s="43">
        <v>150000</v>
      </c>
    </row>
    <row r="15" spans="1:4" x14ac:dyDescent="0.25">
      <c r="A15" s="1" t="s">
        <v>117</v>
      </c>
      <c r="B15" s="2"/>
      <c r="C15" s="146"/>
      <c r="D15" s="43">
        <v>7100</v>
      </c>
    </row>
    <row r="16" spans="1:4" x14ac:dyDescent="0.25">
      <c r="A16" s="18" t="s">
        <v>118</v>
      </c>
      <c r="B16" s="102">
        <v>2200</v>
      </c>
      <c r="C16" s="146"/>
    </row>
    <row r="17" spans="1:4" x14ac:dyDescent="0.25">
      <c r="A17" s="1" t="s">
        <v>119</v>
      </c>
      <c r="B17" s="103">
        <v>25</v>
      </c>
      <c r="C17" s="146"/>
      <c r="D17" s="43"/>
    </row>
    <row r="18" spans="1:4" ht="19.5" thickBot="1" x14ac:dyDescent="0.3">
      <c r="A18" s="8" t="s">
        <v>27</v>
      </c>
      <c r="B18" s="44">
        <f>SUM(B7:B17)</f>
        <v>157900</v>
      </c>
      <c r="C18" s="37"/>
      <c r="D18" s="44">
        <f>SUM(D13:D17)</f>
        <v>157900</v>
      </c>
    </row>
    <row r="19" spans="1:4" ht="19.5" thickTop="1" x14ac:dyDescent="0.25"/>
  </sheetData>
  <mergeCells count="6">
    <mergeCell ref="C6:C17"/>
    <mergeCell ref="A1:D1"/>
    <mergeCell ref="A2:D2"/>
    <mergeCell ref="A3:D3"/>
    <mergeCell ref="A4:D4"/>
    <mergeCell ref="A5:D5"/>
  </mergeCells>
  <phoneticPr fontId="4" type="noConversion"/>
  <pageMargins left="0.7" right="0.7" top="0.75" bottom="0.75" header="0.3" footer="0.3"/>
  <pageSetup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EC9604-CE69-4E75-9B4A-1FD796F5E46E}">
  <dimension ref="A1:C15"/>
  <sheetViews>
    <sheetView tabSelected="1" workbookViewId="0">
      <selection activeCell="A11" sqref="A11"/>
    </sheetView>
  </sheetViews>
  <sheetFormatPr defaultColWidth="11.21875" defaultRowHeight="15" x14ac:dyDescent="0.2"/>
  <cols>
    <col min="1" max="1" width="13.5625" customWidth="1"/>
    <col min="2" max="2" width="100.375" customWidth="1"/>
  </cols>
  <sheetData>
    <row r="1" spans="1:3" ht="18" x14ac:dyDescent="0.2">
      <c r="A1" s="122" t="s">
        <v>38</v>
      </c>
      <c r="B1" s="122"/>
      <c r="C1" s="78"/>
    </row>
    <row r="2" spans="1:3" ht="18" x14ac:dyDescent="0.2">
      <c r="A2" s="122" t="s">
        <v>45</v>
      </c>
      <c r="B2" s="122"/>
      <c r="C2" s="78"/>
    </row>
    <row r="3" spans="1:3" ht="18" x14ac:dyDescent="0.2">
      <c r="A3" s="79"/>
      <c r="B3" s="79"/>
      <c r="C3" s="78"/>
    </row>
    <row r="4" spans="1:3" ht="27.75" x14ac:dyDescent="0.2">
      <c r="A4" s="104" t="s">
        <v>46</v>
      </c>
      <c r="B4" s="77" t="s">
        <v>47</v>
      </c>
    </row>
    <row r="5" spans="1:3" ht="27.75" x14ac:dyDescent="0.2">
      <c r="A5" s="104" t="s">
        <v>48</v>
      </c>
      <c r="B5" s="77" t="s">
        <v>68</v>
      </c>
    </row>
    <row r="6" spans="1:3" ht="27.75" x14ac:dyDescent="0.2">
      <c r="A6" s="77" t="s">
        <v>55</v>
      </c>
      <c r="B6" s="77" t="s">
        <v>56</v>
      </c>
    </row>
    <row r="7" spans="1:3" ht="54.75" x14ac:dyDescent="0.2">
      <c r="A7" s="104" t="s">
        <v>57</v>
      </c>
      <c r="B7" s="77" t="s">
        <v>58</v>
      </c>
    </row>
    <row r="8" spans="1:3" ht="15.75" x14ac:dyDescent="0.2">
      <c r="A8" s="77" t="s">
        <v>59</v>
      </c>
      <c r="B8" s="77" t="s">
        <v>60</v>
      </c>
    </row>
    <row r="9" spans="1:3" ht="15.75" x14ac:dyDescent="0.2">
      <c r="A9" s="104" t="s">
        <v>49</v>
      </c>
      <c r="B9" s="77" t="s">
        <v>61</v>
      </c>
    </row>
    <row r="10" spans="1:3" ht="27.75" x14ac:dyDescent="0.2">
      <c r="A10" s="104" t="s">
        <v>62</v>
      </c>
      <c r="B10" s="77" t="s">
        <v>63</v>
      </c>
    </row>
    <row r="11" spans="1:3" ht="15.75" x14ac:dyDescent="0.2">
      <c r="A11" s="77" t="s">
        <v>50</v>
      </c>
      <c r="B11" s="77" t="s">
        <v>69</v>
      </c>
    </row>
    <row r="12" spans="1:3" ht="27.75" x14ac:dyDescent="0.2">
      <c r="A12" s="77" t="s">
        <v>51</v>
      </c>
      <c r="B12" s="77" t="s">
        <v>64</v>
      </c>
    </row>
    <row r="13" spans="1:3" ht="27.75" x14ac:dyDescent="0.2">
      <c r="A13" s="104" t="s">
        <v>52</v>
      </c>
      <c r="B13" s="77" t="s">
        <v>65</v>
      </c>
    </row>
    <row r="14" spans="1:3" ht="15.75" x14ac:dyDescent="0.2">
      <c r="A14" s="77" t="s">
        <v>53</v>
      </c>
      <c r="B14" s="77" t="s">
        <v>66</v>
      </c>
    </row>
    <row r="15" spans="1:3" ht="27.75" x14ac:dyDescent="0.2">
      <c r="A15" s="104" t="s">
        <v>54</v>
      </c>
      <c r="B15" s="77" t="s">
        <v>67</v>
      </c>
    </row>
  </sheetData>
  <mergeCells count="2">
    <mergeCell ref="A2:B2"/>
    <mergeCell ref="A1:B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D0E5D-3D52-4C12-9DB0-BD6F16F0AD03}">
  <dimension ref="A1:Y40"/>
  <sheetViews>
    <sheetView topLeftCell="E13" workbookViewId="0">
      <selection activeCell="M3" sqref="M3"/>
    </sheetView>
  </sheetViews>
  <sheetFormatPr defaultColWidth="10.8515625" defaultRowHeight="24.95" customHeight="1" x14ac:dyDescent="0.2"/>
  <cols>
    <col min="1" max="1" width="13.0703125" style="24" customWidth="1"/>
    <col min="2" max="2" width="5.0546875" style="24" customWidth="1"/>
    <col min="3" max="3" width="37.484375" customWidth="1"/>
    <col min="4" max="4" width="6.53515625" customWidth="1"/>
    <col min="5" max="5" width="17.38671875" customWidth="1"/>
    <col min="6" max="6" width="18.6171875" customWidth="1"/>
    <col min="7" max="7" width="10.8515625" style="27"/>
    <col min="8" max="8" width="14.91796875" customWidth="1"/>
    <col min="9" max="9" width="18.125" customWidth="1"/>
    <col min="10" max="10" width="5.671875" customWidth="1"/>
    <col min="11" max="11" width="4.4375" customWidth="1"/>
    <col min="12" max="12" width="5.546875" customWidth="1"/>
    <col min="13" max="13" width="14.671875" customWidth="1"/>
    <col min="14" max="14" width="21.453125" customWidth="1"/>
    <col min="15" max="16" width="6.0390625" customWidth="1"/>
    <col min="17" max="17" width="9.125" customWidth="1"/>
    <col min="18" max="18" width="14.55078125" customWidth="1"/>
    <col min="19" max="19" width="10.8515625" customWidth="1"/>
    <col min="20" max="21" width="6.0390625" customWidth="1"/>
    <col min="22" max="22" width="5.91796875" customWidth="1"/>
    <col min="24" max="24" width="16.64453125" customWidth="1"/>
    <col min="25" max="25" width="14.1796875" customWidth="1"/>
  </cols>
  <sheetData>
    <row r="1" spans="1:25" ht="24.95" customHeight="1" x14ac:dyDescent="0.3">
      <c r="A1" s="127"/>
      <c r="B1" s="128"/>
      <c r="C1" s="128"/>
      <c r="D1" s="128"/>
      <c r="E1" s="129"/>
      <c r="F1" s="69"/>
      <c r="H1" s="130" t="s">
        <v>74</v>
      </c>
      <c r="I1" s="130"/>
      <c r="J1" s="4"/>
      <c r="K1" s="4"/>
      <c r="M1" s="130" t="s">
        <v>120</v>
      </c>
      <c r="N1" s="130"/>
      <c r="O1" s="47"/>
      <c r="P1" s="4"/>
      <c r="Q1" s="130" t="s">
        <v>128</v>
      </c>
      <c r="R1" s="130"/>
      <c r="S1" s="47"/>
      <c r="T1" s="4"/>
      <c r="U1" s="4"/>
      <c r="X1" s="4" t="s">
        <v>2</v>
      </c>
      <c r="Y1" s="34" t="s">
        <v>3</v>
      </c>
    </row>
    <row r="2" spans="1:25" ht="24.95" customHeight="1" x14ac:dyDescent="0.25">
      <c r="A2" s="136"/>
      <c r="B2" s="137"/>
      <c r="C2" s="137"/>
      <c r="D2" s="137"/>
      <c r="E2" s="137"/>
      <c r="F2" s="137"/>
      <c r="H2" s="48" t="s">
        <v>4</v>
      </c>
      <c r="I2" s="48" t="s">
        <v>5</v>
      </c>
      <c r="J2" s="4"/>
      <c r="K2" s="4"/>
      <c r="L2" s="24"/>
      <c r="M2" s="48" t="s">
        <v>4</v>
      </c>
      <c r="N2" s="48" t="s">
        <v>5</v>
      </c>
      <c r="O2" s="4"/>
      <c r="P2" s="4"/>
      <c r="Q2" s="48" t="s">
        <v>4</v>
      </c>
      <c r="R2" s="48" t="s">
        <v>5</v>
      </c>
      <c r="S2" s="4"/>
      <c r="T2" s="4"/>
      <c r="U2" s="4"/>
      <c r="W2" s="34" t="s">
        <v>6</v>
      </c>
    </row>
    <row r="3" spans="1:25" ht="24.95" customHeight="1" x14ac:dyDescent="0.2">
      <c r="A3" s="138"/>
      <c r="B3" s="131"/>
      <c r="C3" s="131"/>
      <c r="D3" s="131"/>
      <c r="E3" s="131"/>
      <c r="F3" s="131"/>
      <c r="G3" s="27">
        <v>1</v>
      </c>
      <c r="H3" s="49">
        <v>100000</v>
      </c>
      <c r="I3" s="23">
        <v>200</v>
      </c>
      <c r="J3" s="23">
        <v>2</v>
      </c>
      <c r="K3" s="23"/>
      <c r="L3" s="24"/>
      <c r="M3" s="49"/>
      <c r="N3" s="23">
        <v>100000</v>
      </c>
      <c r="O3" s="81">
        <v>1</v>
      </c>
      <c r="P3" s="27"/>
      <c r="Q3" s="50"/>
      <c r="R3" s="29">
        <v>3000</v>
      </c>
      <c r="S3" s="27">
        <v>5</v>
      </c>
      <c r="T3" s="27"/>
      <c r="U3" s="27"/>
      <c r="W3" s="34" t="s">
        <v>7</v>
      </c>
    </row>
    <row r="4" spans="1:25" ht="24.95" customHeight="1" x14ac:dyDescent="0.2">
      <c r="A4" s="134"/>
      <c r="B4" s="135"/>
      <c r="C4" s="135"/>
      <c r="D4" s="135"/>
      <c r="E4" s="135"/>
      <c r="F4" s="135"/>
      <c r="G4" s="27">
        <v>5</v>
      </c>
      <c r="H4" s="92">
        <v>3000</v>
      </c>
      <c r="I4" s="105">
        <f>H13+M13+Q21</f>
        <v>2175</v>
      </c>
      <c r="J4">
        <v>16</v>
      </c>
      <c r="K4" s="23"/>
      <c r="M4" s="49"/>
      <c r="Q4" s="51"/>
      <c r="R4" s="105">
        <f>125*20</f>
        <v>2500</v>
      </c>
      <c r="S4">
        <v>12</v>
      </c>
      <c r="V4" s="28"/>
      <c r="W4" s="34" t="s">
        <v>8</v>
      </c>
    </row>
    <row r="5" spans="1:25" s="4" customFormat="1" ht="24.95" customHeight="1" x14ac:dyDescent="0.2">
      <c r="A5" s="139" t="s">
        <v>122</v>
      </c>
      <c r="B5" s="140"/>
      <c r="C5" s="3" t="s">
        <v>121</v>
      </c>
      <c r="D5" s="3" t="s">
        <v>11</v>
      </c>
      <c r="E5" s="3" t="s">
        <v>4</v>
      </c>
      <c r="F5" s="3" t="s">
        <v>5</v>
      </c>
      <c r="G5" s="33">
        <v>13</v>
      </c>
      <c r="H5" s="106">
        <v>2500</v>
      </c>
      <c r="I5" s="30"/>
      <c r="J5" s="30"/>
      <c r="K5" s="30"/>
      <c r="M5" s="75"/>
      <c r="N5" s="30"/>
      <c r="P5" s="30"/>
      <c r="Q5" s="45"/>
      <c r="R5" s="30">
        <v>2500</v>
      </c>
      <c r="S5" s="111">
        <v>13</v>
      </c>
      <c r="T5" s="30"/>
      <c r="U5" s="30"/>
      <c r="V5" s="33"/>
    </row>
    <row r="6" spans="1:25" ht="24.95" customHeight="1" x14ac:dyDescent="0.2">
      <c r="A6" s="132"/>
      <c r="B6" s="133"/>
      <c r="C6" s="66"/>
      <c r="D6" s="66"/>
      <c r="E6" s="66"/>
      <c r="F6" s="66"/>
      <c r="H6" s="51"/>
      <c r="I6" s="52"/>
      <c r="J6" s="57"/>
      <c r="K6" s="57"/>
      <c r="M6" s="51"/>
      <c r="N6" s="30"/>
      <c r="Q6" s="51"/>
      <c r="V6" s="27"/>
      <c r="X6" s="34" t="s">
        <v>12</v>
      </c>
      <c r="Y6" s="4" t="s">
        <v>13</v>
      </c>
    </row>
    <row r="7" spans="1:25" ht="24.95" customHeight="1" thickBot="1" x14ac:dyDescent="0.25">
      <c r="A7" s="3" t="s">
        <v>123</v>
      </c>
      <c r="B7" s="3">
        <v>1</v>
      </c>
      <c r="C7" s="5" t="s">
        <v>74</v>
      </c>
      <c r="D7" s="5"/>
      <c r="E7" s="35">
        <v>100000</v>
      </c>
      <c r="F7" s="5"/>
      <c r="H7" s="23"/>
      <c r="I7" s="23"/>
      <c r="J7" s="23"/>
      <c r="K7" s="23"/>
      <c r="N7" s="53"/>
      <c r="V7" s="27"/>
      <c r="W7" s="34" t="s">
        <v>14</v>
      </c>
    </row>
    <row r="8" spans="1:25" ht="24.95" customHeight="1" thickTop="1" thickBot="1" x14ac:dyDescent="0.25">
      <c r="A8" s="3" t="s">
        <v>123</v>
      </c>
      <c r="B8" s="3">
        <v>1</v>
      </c>
      <c r="C8" s="5" t="s">
        <v>124</v>
      </c>
      <c r="D8" s="5"/>
      <c r="E8" s="5"/>
      <c r="F8" s="35">
        <v>100000</v>
      </c>
      <c r="H8" s="53"/>
      <c r="V8" s="27"/>
      <c r="W8" s="34" t="s">
        <v>1</v>
      </c>
    </row>
    <row r="9" spans="1:25" ht="29.25" customHeight="1" thickTop="1" x14ac:dyDescent="0.2">
      <c r="A9" s="3" t="s">
        <v>123</v>
      </c>
      <c r="B9" s="3">
        <v>1</v>
      </c>
      <c r="C9" s="26" t="s">
        <v>125</v>
      </c>
      <c r="D9" s="5"/>
      <c r="E9" s="5"/>
      <c r="F9" s="5"/>
      <c r="W9" s="34" t="s">
        <v>15</v>
      </c>
    </row>
    <row r="10" spans="1:25" ht="24.95" customHeight="1" x14ac:dyDescent="0.2">
      <c r="A10" s="3"/>
      <c r="B10" s="25">
        <v>2</v>
      </c>
      <c r="C10" s="5" t="s">
        <v>131</v>
      </c>
      <c r="D10" s="5"/>
      <c r="E10" s="5">
        <v>200</v>
      </c>
      <c r="F10" s="5"/>
      <c r="G10" s="36"/>
      <c r="W10" s="34"/>
    </row>
    <row r="11" spans="1:25" ht="24.95" customHeight="1" x14ac:dyDescent="0.2">
      <c r="A11" s="25"/>
      <c r="B11" s="25">
        <v>2</v>
      </c>
      <c r="C11" s="5" t="s">
        <v>81</v>
      </c>
      <c r="D11" s="5"/>
      <c r="E11" s="5"/>
      <c r="F11" s="5">
        <v>200</v>
      </c>
      <c r="H11" s="130" t="s">
        <v>126</v>
      </c>
      <c r="I11" s="130"/>
      <c r="J11" s="4"/>
      <c r="K11" s="4"/>
      <c r="M11" s="130" t="s">
        <v>127</v>
      </c>
      <c r="N11" s="130"/>
      <c r="O11" s="47"/>
      <c r="P11" s="4"/>
      <c r="Q11" s="130" t="s">
        <v>131</v>
      </c>
      <c r="R11" s="130"/>
      <c r="S11" s="4"/>
      <c r="T11" s="4"/>
      <c r="U11" s="4"/>
      <c r="W11" s="131"/>
      <c r="X11" s="131"/>
      <c r="Y11" s="47"/>
    </row>
    <row r="12" spans="1:25" ht="32.450000000000003" customHeight="1" x14ac:dyDescent="0.2">
      <c r="A12" s="25"/>
      <c r="B12" s="25">
        <v>2</v>
      </c>
      <c r="C12" s="32" t="s">
        <v>132</v>
      </c>
      <c r="D12" s="5"/>
      <c r="E12" s="5"/>
      <c r="F12" s="5"/>
      <c r="H12" s="48" t="s">
        <v>4</v>
      </c>
      <c r="I12" s="48" t="s">
        <v>5</v>
      </c>
      <c r="J12" s="4"/>
      <c r="K12" s="4"/>
      <c r="L12" s="24"/>
      <c r="M12" s="48" t="s">
        <v>4</v>
      </c>
      <c r="N12" s="48" t="s">
        <v>5</v>
      </c>
      <c r="O12" s="24"/>
      <c r="P12" s="24"/>
      <c r="Q12" s="48" t="s">
        <v>4</v>
      </c>
      <c r="R12" s="48" t="s">
        <v>5</v>
      </c>
      <c r="S12" s="24"/>
      <c r="T12" s="24"/>
      <c r="U12" s="24"/>
      <c r="W12" s="4"/>
      <c r="X12" s="4"/>
    </row>
    <row r="13" spans="1:25" ht="34.5" customHeight="1" x14ac:dyDescent="0.2">
      <c r="A13" s="25"/>
      <c r="B13" s="3">
        <v>5</v>
      </c>
      <c r="C13" s="5" t="s">
        <v>74</v>
      </c>
      <c r="D13" s="5"/>
      <c r="E13" s="72">
        <v>3000</v>
      </c>
      <c r="F13" s="5"/>
      <c r="G13" s="27">
        <v>16</v>
      </c>
      <c r="H13" s="51">
        <v>900</v>
      </c>
      <c r="I13" s="23"/>
      <c r="J13" s="23"/>
      <c r="K13" s="23"/>
      <c r="L13" s="24">
        <v>16</v>
      </c>
      <c r="M13" s="54">
        <v>1200</v>
      </c>
      <c r="O13" s="24"/>
      <c r="P13" s="24">
        <v>2</v>
      </c>
      <c r="Q13" s="51">
        <v>200</v>
      </c>
      <c r="R13" s="23"/>
      <c r="S13" s="24"/>
      <c r="T13" s="24"/>
      <c r="U13" s="24"/>
      <c r="V13" s="24"/>
      <c r="W13" s="57"/>
      <c r="X13" s="81"/>
    </row>
    <row r="14" spans="1:25" ht="15" x14ac:dyDescent="0.2">
      <c r="A14" s="25"/>
      <c r="B14" s="25">
        <v>5</v>
      </c>
      <c r="C14" s="5" t="s">
        <v>129</v>
      </c>
      <c r="D14" s="5"/>
      <c r="E14" s="5"/>
      <c r="F14" s="35">
        <v>3000</v>
      </c>
      <c r="H14" s="54"/>
      <c r="I14" s="29"/>
      <c r="J14" s="23"/>
      <c r="K14" s="23"/>
      <c r="M14" s="51"/>
      <c r="Q14" s="54"/>
      <c r="R14" s="29"/>
      <c r="V14" s="27"/>
    </row>
    <row r="15" spans="1:25" ht="34.5" customHeight="1" thickBot="1" x14ac:dyDescent="0.25">
      <c r="A15" s="25"/>
      <c r="B15" s="25">
        <v>5</v>
      </c>
      <c r="C15" s="26" t="s">
        <v>130</v>
      </c>
      <c r="D15" s="5"/>
      <c r="E15" s="5"/>
      <c r="F15" s="5"/>
      <c r="H15" s="55"/>
      <c r="I15" s="46"/>
      <c r="J15" s="4"/>
      <c r="K15" s="4"/>
      <c r="L15" s="4"/>
      <c r="M15" s="56"/>
      <c r="N15" s="4"/>
      <c r="O15" s="4"/>
      <c r="P15" s="4"/>
      <c r="Q15" s="55"/>
      <c r="R15" s="46"/>
      <c r="S15" s="4"/>
      <c r="T15" s="4"/>
      <c r="U15" s="4"/>
      <c r="W15" s="82"/>
      <c r="X15" s="4"/>
    </row>
    <row r="16" spans="1:25" ht="40.5" customHeight="1" thickTop="1" x14ac:dyDescent="0.2">
      <c r="A16" s="25"/>
      <c r="B16" s="25">
        <v>12</v>
      </c>
      <c r="C16" s="5" t="s">
        <v>89</v>
      </c>
      <c r="D16" s="5"/>
      <c r="E16" s="93">
        <v>2500</v>
      </c>
      <c r="F16" s="5"/>
      <c r="H16" s="57"/>
      <c r="I16" s="23"/>
      <c r="J16" s="23"/>
      <c r="K16" s="23"/>
      <c r="Q16" s="57"/>
      <c r="R16" s="23"/>
    </row>
    <row r="17" spans="1:23" ht="15.75" thickBot="1" x14ac:dyDescent="0.25">
      <c r="A17" s="25"/>
      <c r="B17" s="25">
        <v>12</v>
      </c>
      <c r="C17" s="5" t="s">
        <v>129</v>
      </c>
      <c r="D17" s="5"/>
      <c r="E17" s="5"/>
      <c r="F17" s="93">
        <v>2500</v>
      </c>
      <c r="I17" s="53"/>
      <c r="J17" s="70"/>
      <c r="K17" s="70"/>
      <c r="R17" s="53"/>
    </row>
    <row r="18" spans="1:23" ht="64.150000000000006" customHeight="1" thickTop="1" x14ac:dyDescent="0.2">
      <c r="A18" s="25"/>
      <c r="B18" s="25">
        <v>12</v>
      </c>
      <c r="C18" s="32" t="s">
        <v>135</v>
      </c>
      <c r="D18" s="5"/>
      <c r="E18" s="5"/>
      <c r="F18" s="5"/>
    </row>
    <row r="19" spans="1:23" ht="28.5" customHeight="1" x14ac:dyDescent="0.2">
      <c r="A19" s="25"/>
      <c r="B19" s="108">
        <v>13</v>
      </c>
      <c r="C19" s="107" t="s">
        <v>74</v>
      </c>
      <c r="D19" s="109"/>
      <c r="E19" s="110">
        <v>2500</v>
      </c>
      <c r="F19" s="109"/>
      <c r="G19" s="28"/>
      <c r="H19" s="130" t="s">
        <v>41</v>
      </c>
      <c r="I19" s="130"/>
      <c r="J19" s="4"/>
      <c r="K19" s="4"/>
      <c r="M19" s="130" t="s">
        <v>89</v>
      </c>
      <c r="N19" s="130"/>
      <c r="O19" s="47"/>
      <c r="Q19" s="130" t="s">
        <v>136</v>
      </c>
      <c r="R19" s="130"/>
    </row>
    <row r="20" spans="1:23" ht="15" x14ac:dyDescent="0.2">
      <c r="A20" s="25"/>
      <c r="B20" s="25">
        <v>13</v>
      </c>
      <c r="C20" s="74" t="s">
        <v>134</v>
      </c>
      <c r="D20" s="5"/>
      <c r="E20" s="5"/>
      <c r="F20" s="35">
        <v>2500</v>
      </c>
      <c r="H20" s="48" t="s">
        <v>4</v>
      </c>
      <c r="I20" s="48" t="s">
        <v>5</v>
      </c>
      <c r="J20" s="4"/>
      <c r="K20" s="4"/>
      <c r="M20" s="48" t="s">
        <v>4</v>
      </c>
      <c r="N20" s="48" t="s">
        <v>5</v>
      </c>
      <c r="Q20" s="48" t="s">
        <v>4</v>
      </c>
      <c r="R20" s="48" t="s">
        <v>5</v>
      </c>
      <c r="W20" s="23"/>
    </row>
    <row r="21" spans="1:23" ht="45" x14ac:dyDescent="0.2">
      <c r="A21" s="25"/>
      <c r="B21" s="25">
        <v>13</v>
      </c>
      <c r="C21" s="26" t="s">
        <v>133</v>
      </c>
      <c r="D21" s="5"/>
      <c r="E21" s="5"/>
      <c r="F21" s="5"/>
      <c r="H21" s="23"/>
      <c r="I21" s="23"/>
      <c r="J21" s="23"/>
      <c r="K21" s="23"/>
      <c r="L21">
        <v>12</v>
      </c>
      <c r="M21" s="29">
        <v>2500</v>
      </c>
      <c r="N21" s="23">
        <v>1200</v>
      </c>
      <c r="O21" s="114">
        <v>18</v>
      </c>
      <c r="Q21" s="112">
        <v>75</v>
      </c>
      <c r="R21" s="23"/>
    </row>
    <row r="22" spans="1:23" ht="15" x14ac:dyDescent="0.2">
      <c r="A22" s="25"/>
      <c r="B22" s="25">
        <v>16</v>
      </c>
      <c r="C22" t="s">
        <v>118</v>
      </c>
      <c r="D22" s="5"/>
      <c r="E22" s="35">
        <v>1200</v>
      </c>
      <c r="F22" s="5"/>
      <c r="H22" s="29"/>
      <c r="M22" s="29"/>
      <c r="N22" s="23"/>
      <c r="Q22" s="54"/>
      <c r="R22" s="29"/>
    </row>
    <row r="23" spans="1:23" ht="30.75" customHeight="1" x14ac:dyDescent="0.2">
      <c r="A23" s="25"/>
      <c r="B23" s="25">
        <v>16</v>
      </c>
      <c r="C23" s="5" t="s">
        <v>126</v>
      </c>
      <c r="D23" s="5"/>
      <c r="E23" s="93">
        <v>900</v>
      </c>
      <c r="F23" s="35"/>
      <c r="H23" s="45"/>
      <c r="I23" s="4"/>
      <c r="J23" s="4"/>
      <c r="K23" s="4"/>
      <c r="M23" s="45"/>
      <c r="N23" s="23"/>
      <c r="Q23" s="55"/>
      <c r="R23" s="46"/>
    </row>
    <row r="24" spans="1:23" ht="54" customHeight="1" thickBot="1" x14ac:dyDescent="0.25">
      <c r="A24" s="25"/>
      <c r="B24" s="25">
        <v>16</v>
      </c>
      <c r="C24" s="74" t="s">
        <v>137</v>
      </c>
      <c r="D24" s="5"/>
      <c r="E24" s="113">
        <v>75</v>
      </c>
      <c r="F24" s="35"/>
      <c r="H24" s="53"/>
      <c r="M24" s="53"/>
      <c r="Q24" s="57"/>
      <c r="R24" s="23"/>
    </row>
    <row r="25" spans="1:23" ht="16.5" thickTop="1" thickBot="1" x14ac:dyDescent="0.25">
      <c r="A25" s="25"/>
      <c r="B25" s="25">
        <v>16</v>
      </c>
      <c r="C25" s="5" t="s">
        <v>81</v>
      </c>
      <c r="D25" s="5"/>
      <c r="E25" s="71"/>
      <c r="F25" s="93">
        <v>2175</v>
      </c>
      <c r="H25" s="70"/>
      <c r="M25" s="70"/>
      <c r="P25" s="4"/>
      <c r="R25" s="53"/>
      <c r="S25" s="4"/>
      <c r="T25" s="4"/>
      <c r="U25" s="4"/>
    </row>
    <row r="26" spans="1:23" ht="45.75" thickTop="1" x14ac:dyDescent="0.2">
      <c r="A26" s="25"/>
      <c r="B26" s="25">
        <v>16</v>
      </c>
      <c r="C26" s="26" t="s">
        <v>138</v>
      </c>
      <c r="D26" s="5"/>
      <c r="E26" s="5"/>
      <c r="F26" s="35"/>
      <c r="H26" s="130" t="s">
        <v>139</v>
      </c>
      <c r="I26" s="130"/>
      <c r="J26" s="4"/>
      <c r="K26" s="4"/>
      <c r="M26" s="130" t="s">
        <v>91</v>
      </c>
      <c r="N26" s="130"/>
      <c r="O26" s="47"/>
      <c r="P26" s="24"/>
      <c r="Q26" s="24"/>
      <c r="R26" s="24"/>
      <c r="S26" s="24"/>
      <c r="T26" s="24"/>
      <c r="U26" s="24"/>
      <c r="W26" s="23"/>
    </row>
    <row r="27" spans="1:23" ht="34.5" customHeight="1" x14ac:dyDescent="0.2">
      <c r="A27" s="25"/>
      <c r="B27" s="25"/>
      <c r="C27" s="26"/>
      <c r="D27" s="5"/>
      <c r="E27" s="5"/>
      <c r="F27" s="5"/>
      <c r="H27" s="48" t="s">
        <v>4</v>
      </c>
      <c r="I27" s="48" t="s">
        <v>5</v>
      </c>
      <c r="J27" s="4"/>
      <c r="K27" s="4"/>
      <c r="L27" s="24"/>
      <c r="M27" s="48" t="s">
        <v>4</v>
      </c>
      <c r="N27" s="48" t="s">
        <v>5</v>
      </c>
      <c r="O27" s="24"/>
      <c r="W27" s="23"/>
    </row>
    <row r="28" spans="1:23" ht="15" x14ac:dyDescent="0.2">
      <c r="A28" s="25"/>
      <c r="B28" s="25"/>
      <c r="C28" s="5"/>
      <c r="D28" s="5"/>
      <c r="E28" s="35"/>
      <c r="F28" s="5"/>
      <c r="G28" s="27">
        <v>17</v>
      </c>
      <c r="H28" s="29">
        <v>120</v>
      </c>
      <c r="I28" s="23"/>
      <c r="J28" s="23"/>
      <c r="K28" s="23"/>
      <c r="L28" s="24"/>
      <c r="M28" s="29"/>
      <c r="N28" s="23">
        <v>120</v>
      </c>
      <c r="O28">
        <v>17</v>
      </c>
      <c r="V28" s="83"/>
      <c r="W28" s="23"/>
    </row>
    <row r="29" spans="1:23" ht="24.95" customHeight="1" x14ac:dyDescent="0.2">
      <c r="A29" s="25"/>
      <c r="B29" s="25"/>
      <c r="C29" s="74"/>
      <c r="D29" s="5"/>
      <c r="E29" s="5"/>
      <c r="F29" s="35"/>
      <c r="H29" s="51"/>
      <c r="M29" s="51"/>
      <c r="P29" s="4"/>
      <c r="Q29" s="4"/>
      <c r="R29" s="4"/>
      <c r="S29" s="4"/>
      <c r="T29" s="4"/>
      <c r="U29" s="4"/>
      <c r="V29" s="4"/>
    </row>
    <row r="30" spans="1:23" ht="46.5" customHeight="1" x14ac:dyDescent="0.2">
      <c r="A30" s="25"/>
      <c r="B30" s="25"/>
      <c r="C30" s="76"/>
      <c r="D30" s="5"/>
      <c r="E30" s="5"/>
      <c r="F30" s="5"/>
      <c r="H30" s="45"/>
      <c r="I30" s="4"/>
      <c r="J30" s="4"/>
      <c r="K30" s="4"/>
      <c r="L30" s="4"/>
      <c r="M30" s="45"/>
      <c r="N30" s="4"/>
      <c r="O30" s="4"/>
    </row>
    <row r="31" spans="1:23" ht="24.95" customHeight="1" thickBot="1" x14ac:dyDescent="0.25">
      <c r="A31" s="25"/>
      <c r="B31" s="25"/>
      <c r="C31" s="5"/>
      <c r="D31" s="5"/>
      <c r="E31" s="35"/>
      <c r="F31" s="5"/>
      <c r="H31" s="53"/>
      <c r="N31" s="53"/>
      <c r="P31" s="4"/>
      <c r="Q31" s="4"/>
      <c r="R31" s="4"/>
      <c r="S31" s="4"/>
      <c r="T31" s="4"/>
      <c r="U31" s="4"/>
    </row>
    <row r="32" spans="1:23" ht="24.95" customHeight="1" thickTop="1" x14ac:dyDescent="0.2">
      <c r="A32" s="25"/>
      <c r="B32" s="25"/>
      <c r="C32" s="5"/>
      <c r="D32" s="5"/>
      <c r="E32" s="35"/>
      <c r="F32" s="5"/>
      <c r="H32" s="131"/>
      <c r="I32" s="131"/>
      <c r="J32" s="4"/>
      <c r="K32" s="4"/>
      <c r="M32" s="131"/>
      <c r="N32" s="131"/>
      <c r="O32" s="4"/>
      <c r="P32" s="24"/>
      <c r="Q32" s="24"/>
      <c r="R32" s="24"/>
      <c r="S32" s="24"/>
      <c r="T32" s="24"/>
      <c r="U32" s="24"/>
    </row>
    <row r="33" spans="1:21" ht="24.95" customHeight="1" x14ac:dyDescent="0.2">
      <c r="A33" s="25"/>
      <c r="B33" s="25"/>
      <c r="C33" s="5"/>
      <c r="D33" s="5"/>
      <c r="E33" s="5"/>
      <c r="F33" s="35"/>
      <c r="H33" s="24"/>
      <c r="I33" s="24"/>
      <c r="J33" s="24"/>
      <c r="K33" s="24"/>
      <c r="L33" s="24"/>
      <c r="M33" s="24"/>
      <c r="N33" s="24"/>
      <c r="O33" s="24"/>
      <c r="P33" s="23"/>
      <c r="Q33" s="23"/>
      <c r="R33" s="23"/>
      <c r="S33" s="23"/>
      <c r="T33" s="23"/>
      <c r="U33" s="23"/>
    </row>
    <row r="34" spans="1:21" ht="24.95" customHeight="1" x14ac:dyDescent="0.2">
      <c r="A34" s="25"/>
      <c r="B34" s="25"/>
      <c r="C34" s="5"/>
      <c r="D34" s="5"/>
      <c r="E34" s="5"/>
      <c r="F34" s="35"/>
      <c r="H34" s="130" t="s">
        <v>42</v>
      </c>
      <c r="I34" s="130"/>
      <c r="J34" s="4"/>
      <c r="K34" s="4"/>
      <c r="M34" s="130" t="s">
        <v>43</v>
      </c>
      <c r="N34" s="130"/>
      <c r="O34" s="23"/>
    </row>
    <row r="35" spans="1:21" ht="45" customHeight="1" x14ac:dyDescent="0.2">
      <c r="A35" s="25"/>
      <c r="B35" s="25"/>
      <c r="C35" s="32"/>
      <c r="D35" s="5"/>
      <c r="E35" s="5"/>
      <c r="F35" s="5"/>
      <c r="H35" s="48" t="s">
        <v>4</v>
      </c>
      <c r="I35" s="48" t="s">
        <v>5</v>
      </c>
      <c r="J35" s="4"/>
      <c r="K35" s="4"/>
      <c r="L35" s="24"/>
      <c r="M35" s="48" t="s">
        <v>4</v>
      </c>
      <c r="N35" s="48" t="s">
        <v>5</v>
      </c>
      <c r="P35" s="4"/>
      <c r="Q35" s="4"/>
      <c r="R35" s="4"/>
      <c r="S35" s="4"/>
      <c r="T35" s="4"/>
      <c r="U35" s="4"/>
    </row>
    <row r="36" spans="1:21" ht="24.95" customHeight="1" x14ac:dyDescent="0.2">
      <c r="H36" s="29"/>
      <c r="I36" s="23"/>
      <c r="J36" s="23"/>
      <c r="K36" s="23"/>
      <c r="L36" s="24"/>
      <c r="M36" s="29"/>
      <c r="N36" s="23"/>
      <c r="O36" s="4"/>
    </row>
    <row r="37" spans="1:21" ht="24.95" customHeight="1" x14ac:dyDescent="0.2">
      <c r="H37" s="51"/>
      <c r="M37" s="51"/>
    </row>
    <row r="38" spans="1:21" ht="24.95" customHeight="1" x14ac:dyDescent="0.2">
      <c r="E38" s="23"/>
      <c r="F38" s="23"/>
      <c r="H38" s="45"/>
      <c r="I38" s="4"/>
      <c r="J38" s="4"/>
      <c r="K38" s="4"/>
      <c r="L38" s="4"/>
      <c r="M38" s="45"/>
      <c r="N38" s="4"/>
    </row>
    <row r="39" spans="1:21" ht="24.95" customHeight="1" thickBot="1" x14ac:dyDescent="0.25">
      <c r="H39" s="53"/>
      <c r="N39" s="53"/>
    </row>
    <row r="40" spans="1:21" ht="24.95" customHeight="1" thickTop="1" x14ac:dyDescent="0.2">
      <c r="H40" s="131"/>
      <c r="I40" s="131"/>
      <c r="J40" s="4"/>
      <c r="K40" s="4"/>
      <c r="M40" s="131"/>
      <c r="N40" s="131"/>
    </row>
  </sheetData>
  <mergeCells count="24">
    <mergeCell ref="H34:I34"/>
    <mergeCell ref="M34:N34"/>
    <mergeCell ref="H40:I40"/>
    <mergeCell ref="M40:N40"/>
    <mergeCell ref="H19:I19"/>
    <mergeCell ref="M19:N19"/>
    <mergeCell ref="H26:I26"/>
    <mergeCell ref="M26:N26"/>
    <mergeCell ref="H32:I32"/>
    <mergeCell ref="M32:N32"/>
    <mergeCell ref="Q19:R19"/>
    <mergeCell ref="W11:X11"/>
    <mergeCell ref="A1:E1"/>
    <mergeCell ref="H1:I1"/>
    <mergeCell ref="M1:N1"/>
    <mergeCell ref="Q1:R1"/>
    <mergeCell ref="A2:F2"/>
    <mergeCell ref="A3:F3"/>
    <mergeCell ref="A4:F4"/>
    <mergeCell ref="A5:B5"/>
    <mergeCell ref="A6:B6"/>
    <mergeCell ref="H11:I11"/>
    <mergeCell ref="M11:N11"/>
    <mergeCell ref="Q11:R11"/>
  </mergeCells>
  <printOptions horizontalCentered="1" verticalCentered="1"/>
  <pageMargins left="0.19685039370078741" right="0.19685039370078741" top="0.55000000000000004" bottom="0.55000000000000004" header="0" footer="0"/>
  <pageSetup orientation="portrait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F0AC49-422B-491E-A1BA-93761A0A78A4}">
  <dimension ref="A1:Q104"/>
  <sheetViews>
    <sheetView workbookViewId="0">
      <selection activeCell="N26" sqref="N26"/>
    </sheetView>
  </sheetViews>
  <sheetFormatPr defaultColWidth="10.8515625" defaultRowHeight="18" x14ac:dyDescent="0.25"/>
  <cols>
    <col min="1" max="1" width="8.3828125" style="6" customWidth="1"/>
    <col min="2" max="2" width="3.08203125" style="6" customWidth="1"/>
    <col min="3" max="3" width="18.98828125" style="6" customWidth="1"/>
    <col min="4" max="4" width="5.0546875" style="6" customWidth="1"/>
    <col min="5" max="5" width="11.8359375" style="6" customWidth="1"/>
    <col min="6" max="6" width="4.9296875" style="6" customWidth="1"/>
    <col min="7" max="7" width="8.3828125" style="6" customWidth="1"/>
    <col min="8" max="8" width="3.08203125" style="6" customWidth="1"/>
    <col min="9" max="9" width="17.015625" style="6" customWidth="1"/>
    <col min="10" max="10" width="5.0546875" style="6" customWidth="1"/>
    <col min="11" max="11" width="11.09765625" style="6" bestFit="1" customWidth="1"/>
    <col min="12" max="12" width="5.0546875" style="6" customWidth="1"/>
    <col min="13" max="17" width="10.8515625" style="6"/>
    <col min="18" max="18" width="9.86328125" style="6" customWidth="1"/>
    <col min="19" max="16384" width="10.8515625" style="6"/>
  </cols>
  <sheetData>
    <row r="1" spans="1:17" s="8" customFormat="1" ht="18.75" x14ac:dyDescent="0.25">
      <c r="A1" s="141" t="s">
        <v>17</v>
      </c>
      <c r="B1" s="141"/>
      <c r="C1" s="141"/>
      <c r="D1" s="141"/>
      <c r="E1" s="141"/>
      <c r="F1" s="141"/>
      <c r="G1" s="141"/>
      <c r="H1" s="141"/>
      <c r="I1" s="141"/>
      <c r="J1" s="141"/>
      <c r="K1" s="141"/>
      <c r="L1" s="141"/>
    </row>
    <row r="2" spans="1:17" s="8" customFormat="1" ht="18.75" x14ac:dyDescent="0.25">
      <c r="A2" s="141"/>
      <c r="B2" s="141"/>
      <c r="C2" s="141"/>
      <c r="D2" s="141"/>
      <c r="E2" s="141"/>
      <c r="F2" s="141"/>
      <c r="G2" s="141"/>
      <c r="H2" s="141"/>
      <c r="I2" s="137" t="s">
        <v>18</v>
      </c>
      <c r="J2" s="141"/>
      <c r="K2" s="152"/>
      <c r="L2" s="153"/>
      <c r="P2" s="37" t="s">
        <v>19</v>
      </c>
      <c r="Q2" s="39"/>
    </row>
    <row r="3" spans="1:17" ht="19.5" thickBot="1" x14ac:dyDescent="0.3">
      <c r="A3" s="144"/>
      <c r="B3" s="144"/>
      <c r="C3" s="144"/>
      <c r="D3" s="144"/>
      <c r="E3" s="144"/>
      <c r="F3" s="144"/>
      <c r="G3" s="144"/>
      <c r="H3" s="144"/>
      <c r="I3" s="144"/>
      <c r="J3" s="144"/>
      <c r="K3" s="144"/>
      <c r="L3" s="144"/>
      <c r="P3" s="38" t="s">
        <v>14</v>
      </c>
      <c r="Q3" s="39"/>
    </row>
    <row r="4" spans="1:17" s="7" customFormat="1" ht="18.75" x14ac:dyDescent="0.25">
      <c r="A4" s="13" t="s">
        <v>9</v>
      </c>
      <c r="B4" s="14"/>
      <c r="C4" s="14" t="s">
        <v>10</v>
      </c>
      <c r="D4" s="14" t="s">
        <v>20</v>
      </c>
      <c r="E4" s="150" t="s">
        <v>21</v>
      </c>
      <c r="F4" s="150"/>
      <c r="G4" s="14" t="s">
        <v>9</v>
      </c>
      <c r="H4" s="14"/>
      <c r="I4" s="14" t="s">
        <v>10</v>
      </c>
      <c r="J4" s="14" t="s">
        <v>20</v>
      </c>
      <c r="K4" s="150" t="s">
        <v>22</v>
      </c>
      <c r="L4" s="151"/>
      <c r="P4" s="38" t="s">
        <v>1</v>
      </c>
      <c r="Q4" s="39"/>
    </row>
    <row r="5" spans="1:17" s="7" customFormat="1" ht="18.75" x14ac:dyDescent="0.25">
      <c r="A5" s="40"/>
      <c r="B5" s="9"/>
      <c r="C5" s="9"/>
      <c r="D5" s="9"/>
      <c r="E5" s="58"/>
      <c r="F5" s="59"/>
      <c r="G5" s="10"/>
      <c r="H5" s="10"/>
      <c r="I5" s="9"/>
      <c r="J5" s="9"/>
      <c r="K5" s="31"/>
      <c r="L5" s="60"/>
      <c r="P5" s="38" t="s">
        <v>15</v>
      </c>
      <c r="Q5" s="39"/>
    </row>
    <row r="6" spans="1:17" ht="18.75" x14ac:dyDescent="0.25">
      <c r="A6" s="15"/>
      <c r="B6" s="10"/>
      <c r="C6" s="10"/>
      <c r="D6" s="10"/>
      <c r="E6" s="10"/>
      <c r="F6" s="10"/>
      <c r="G6" s="10"/>
      <c r="H6" s="10"/>
      <c r="I6" s="10"/>
      <c r="J6" s="9"/>
      <c r="K6" s="61"/>
      <c r="L6" s="60"/>
      <c r="P6" s="38" t="s">
        <v>23</v>
      </c>
      <c r="Q6" s="39"/>
    </row>
    <row r="7" spans="1:17" ht="18.75" x14ac:dyDescent="0.25">
      <c r="A7" s="15"/>
      <c r="B7" s="10"/>
      <c r="C7" s="10"/>
      <c r="D7" s="10"/>
      <c r="E7" s="10"/>
      <c r="F7" s="10"/>
      <c r="G7" s="10"/>
      <c r="H7" s="10"/>
      <c r="I7" s="10"/>
      <c r="J7" s="9"/>
      <c r="K7" s="31"/>
      <c r="L7" s="60"/>
      <c r="P7" s="38" t="s">
        <v>8</v>
      </c>
      <c r="Q7" s="39"/>
    </row>
    <row r="8" spans="1:17" x14ac:dyDescent="0.25">
      <c r="A8" s="15"/>
      <c r="B8" s="10"/>
      <c r="C8" s="10"/>
      <c r="D8" s="10"/>
      <c r="E8" s="10"/>
      <c r="F8" s="10"/>
      <c r="G8" s="10"/>
      <c r="H8" s="10"/>
      <c r="I8" s="10"/>
      <c r="J8" s="10"/>
      <c r="K8" s="10"/>
      <c r="L8" s="62"/>
    </row>
    <row r="9" spans="1:17" x14ac:dyDescent="0.25">
      <c r="A9" s="15"/>
      <c r="B9" s="10"/>
      <c r="C9" s="10"/>
      <c r="D9" s="10"/>
      <c r="E9" s="10"/>
      <c r="F9" s="10"/>
      <c r="G9" s="10"/>
      <c r="H9" s="10"/>
      <c r="I9" s="10"/>
      <c r="J9" s="10"/>
      <c r="K9" s="10"/>
      <c r="L9" s="62"/>
    </row>
    <row r="10" spans="1:17" x14ac:dyDescent="0.25">
      <c r="A10" s="15"/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62"/>
    </row>
    <row r="11" spans="1:17" x14ac:dyDescent="0.25">
      <c r="A11" s="15"/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62"/>
    </row>
    <row r="12" spans="1:17" ht="18.75" thickBot="1" x14ac:dyDescent="0.3">
      <c r="A12" s="16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63"/>
    </row>
    <row r="13" spans="1:17" x14ac:dyDescent="0.25">
      <c r="A13" s="142"/>
      <c r="B13" s="143"/>
      <c r="C13" s="143"/>
      <c r="D13" s="143"/>
      <c r="E13" s="143"/>
      <c r="F13" s="143"/>
      <c r="G13" s="143"/>
      <c r="H13" s="143"/>
      <c r="I13" s="143"/>
      <c r="J13" s="143"/>
      <c r="K13" s="143"/>
      <c r="L13" s="154"/>
    </row>
    <row r="14" spans="1:17" ht="19.5" thickBot="1" x14ac:dyDescent="0.3">
      <c r="A14" s="137"/>
      <c r="B14" s="141"/>
      <c r="C14" s="141"/>
      <c r="D14" s="141"/>
      <c r="E14" s="141"/>
      <c r="F14" s="141"/>
      <c r="G14" s="141"/>
      <c r="H14" s="141"/>
      <c r="I14" s="137" t="s">
        <v>18</v>
      </c>
      <c r="J14" s="141"/>
      <c r="K14" s="152"/>
      <c r="L14" s="153"/>
    </row>
    <row r="15" spans="1:17" ht="18.75" thickBot="1" x14ac:dyDescent="0.3">
      <c r="A15" s="11" t="s">
        <v>9</v>
      </c>
      <c r="B15" s="12"/>
      <c r="C15" s="12" t="s">
        <v>10</v>
      </c>
      <c r="D15" s="12" t="s">
        <v>20</v>
      </c>
      <c r="E15" s="155" t="s">
        <v>21</v>
      </c>
      <c r="F15" s="155"/>
      <c r="G15" s="12" t="s">
        <v>9</v>
      </c>
      <c r="H15" s="12"/>
      <c r="I15" s="12" t="s">
        <v>10</v>
      </c>
      <c r="J15" s="12" t="s">
        <v>20</v>
      </c>
      <c r="K15" s="156" t="s">
        <v>22</v>
      </c>
      <c r="L15" s="157"/>
    </row>
    <row r="16" spans="1:17" x14ac:dyDescent="0.25">
      <c r="A16" s="15"/>
      <c r="B16" s="10"/>
      <c r="C16" s="10"/>
      <c r="D16" s="9"/>
      <c r="E16" s="64"/>
      <c r="F16" s="10"/>
      <c r="G16" s="10"/>
      <c r="H16" s="10"/>
      <c r="I16" s="10"/>
      <c r="J16" s="10"/>
      <c r="K16" s="10"/>
      <c r="L16" s="62"/>
    </row>
    <row r="17" spans="1:12" x14ac:dyDescent="0.25">
      <c r="A17" s="15"/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62"/>
    </row>
    <row r="18" spans="1:12" x14ac:dyDescent="0.25">
      <c r="A18" s="15"/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62"/>
    </row>
    <row r="19" spans="1:12" x14ac:dyDescent="0.25">
      <c r="A19" s="15"/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62"/>
    </row>
    <row r="20" spans="1:12" x14ac:dyDescent="0.25">
      <c r="A20" s="15"/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62"/>
    </row>
    <row r="21" spans="1:12" x14ac:dyDescent="0.25">
      <c r="A21" s="15"/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62"/>
    </row>
    <row r="22" spans="1:12" ht="18.75" thickBot="1" x14ac:dyDescent="0.3">
      <c r="A22" s="16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63"/>
    </row>
    <row r="24" spans="1:12" ht="19.5" thickBot="1" x14ac:dyDescent="0.3">
      <c r="A24" s="137"/>
      <c r="B24" s="141"/>
      <c r="C24" s="141"/>
      <c r="D24" s="141"/>
      <c r="E24" s="141"/>
      <c r="F24" s="141"/>
      <c r="G24" s="141"/>
      <c r="H24" s="141"/>
      <c r="I24" s="137" t="s">
        <v>18</v>
      </c>
      <c r="J24" s="141"/>
      <c r="K24" s="159"/>
      <c r="L24" s="159"/>
    </row>
    <row r="25" spans="1:12" ht="18.75" thickBot="1" x14ac:dyDescent="0.3">
      <c r="A25" s="11" t="s">
        <v>9</v>
      </c>
      <c r="B25" s="12"/>
      <c r="C25" s="12" t="s">
        <v>10</v>
      </c>
      <c r="D25" s="12" t="s">
        <v>20</v>
      </c>
      <c r="E25" s="155" t="s">
        <v>21</v>
      </c>
      <c r="F25" s="155"/>
      <c r="G25" s="12" t="s">
        <v>9</v>
      </c>
      <c r="H25" s="12"/>
      <c r="I25" s="12" t="s">
        <v>10</v>
      </c>
      <c r="J25" s="12" t="s">
        <v>20</v>
      </c>
      <c r="K25" s="155" t="s">
        <v>22</v>
      </c>
      <c r="L25" s="158"/>
    </row>
    <row r="26" spans="1:12" x14ac:dyDescent="0.25">
      <c r="A26" s="15"/>
      <c r="B26" s="10"/>
      <c r="C26" s="10"/>
      <c r="D26" s="9"/>
      <c r="E26" s="64"/>
      <c r="F26" s="10"/>
      <c r="G26" s="10"/>
      <c r="H26" s="10"/>
      <c r="I26" s="10"/>
      <c r="J26" s="10"/>
      <c r="K26" s="10"/>
      <c r="L26" s="62"/>
    </row>
    <row r="27" spans="1:12" x14ac:dyDescent="0.25">
      <c r="A27" s="15"/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62"/>
    </row>
    <row r="28" spans="1:12" x14ac:dyDescent="0.25">
      <c r="A28" s="15"/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62"/>
    </row>
    <row r="29" spans="1:12" x14ac:dyDescent="0.25">
      <c r="A29" s="15"/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62"/>
    </row>
    <row r="30" spans="1:12" x14ac:dyDescent="0.25">
      <c r="A30" s="15"/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62"/>
    </row>
    <row r="31" spans="1:12" x14ac:dyDescent="0.25">
      <c r="A31" s="15"/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62"/>
    </row>
    <row r="32" spans="1:12" ht="18.75" thickBot="1" x14ac:dyDescent="0.3">
      <c r="A32" s="16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63"/>
    </row>
    <row r="34" spans="1:12" ht="19.5" thickBot="1" x14ac:dyDescent="0.3">
      <c r="A34" s="137"/>
      <c r="B34" s="141"/>
      <c r="C34" s="141"/>
      <c r="D34" s="141"/>
      <c r="E34" s="141"/>
      <c r="F34" s="141"/>
      <c r="G34" s="141"/>
      <c r="H34" s="141"/>
      <c r="I34" s="137" t="s">
        <v>18</v>
      </c>
      <c r="J34" s="141"/>
      <c r="K34" s="159"/>
      <c r="L34" s="159"/>
    </row>
    <row r="35" spans="1:12" ht="18.75" thickBot="1" x14ac:dyDescent="0.3">
      <c r="A35" s="11" t="s">
        <v>9</v>
      </c>
      <c r="B35" s="12"/>
      <c r="C35" s="12" t="s">
        <v>10</v>
      </c>
      <c r="D35" s="12" t="s">
        <v>20</v>
      </c>
      <c r="E35" s="155" t="s">
        <v>21</v>
      </c>
      <c r="F35" s="155"/>
      <c r="G35" s="12" t="s">
        <v>9</v>
      </c>
      <c r="H35" s="12"/>
      <c r="I35" s="12" t="s">
        <v>10</v>
      </c>
      <c r="J35" s="12" t="s">
        <v>20</v>
      </c>
      <c r="K35" s="155" t="s">
        <v>22</v>
      </c>
      <c r="L35" s="158"/>
    </row>
    <row r="36" spans="1:12" x14ac:dyDescent="0.25">
      <c r="A36" s="15"/>
      <c r="B36" s="10"/>
      <c r="C36" s="10"/>
      <c r="D36" s="9"/>
      <c r="E36" s="65"/>
      <c r="F36" s="10"/>
      <c r="G36" s="10"/>
      <c r="H36" s="10"/>
      <c r="I36" s="10"/>
      <c r="J36" s="10"/>
      <c r="K36" s="10"/>
      <c r="L36" s="62"/>
    </row>
    <row r="37" spans="1:12" x14ac:dyDescent="0.25">
      <c r="A37" s="15"/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62"/>
    </row>
    <row r="38" spans="1:12" x14ac:dyDescent="0.25">
      <c r="A38" s="15"/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62"/>
    </row>
    <row r="39" spans="1:12" x14ac:dyDescent="0.25">
      <c r="A39" s="15"/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62"/>
    </row>
    <row r="40" spans="1:12" x14ac:dyDescent="0.25">
      <c r="A40" s="15"/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62"/>
    </row>
    <row r="41" spans="1:12" x14ac:dyDescent="0.25">
      <c r="A41" s="15"/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62"/>
    </row>
    <row r="42" spans="1:12" x14ac:dyDescent="0.25">
      <c r="A42" s="15"/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62"/>
    </row>
    <row r="43" spans="1:12" x14ac:dyDescent="0.25">
      <c r="A43" s="15"/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62"/>
    </row>
    <row r="44" spans="1:12" ht="18.75" thickBot="1" x14ac:dyDescent="0.3">
      <c r="A44" s="16"/>
      <c r="B44" s="17"/>
      <c r="C44" s="17"/>
      <c r="D44" s="17"/>
      <c r="E44" s="17"/>
      <c r="F44" s="17"/>
      <c r="G44" s="17"/>
      <c r="H44" s="17"/>
      <c r="I44" s="17"/>
      <c r="J44" s="17"/>
      <c r="K44" s="17"/>
      <c r="L44" s="63"/>
    </row>
    <row r="46" spans="1:12" ht="19.5" thickBot="1" x14ac:dyDescent="0.3">
      <c r="A46" s="137"/>
      <c r="B46" s="141"/>
      <c r="C46" s="141"/>
      <c r="D46" s="141"/>
      <c r="E46" s="141"/>
      <c r="F46" s="141"/>
      <c r="G46" s="141"/>
      <c r="H46" s="141"/>
      <c r="I46" s="137" t="s">
        <v>18</v>
      </c>
      <c r="J46" s="141"/>
      <c r="K46" s="159"/>
      <c r="L46" s="159"/>
    </row>
    <row r="47" spans="1:12" ht="18.75" thickBot="1" x14ac:dyDescent="0.3">
      <c r="A47" s="11" t="s">
        <v>9</v>
      </c>
      <c r="B47" s="12"/>
      <c r="C47" s="12" t="s">
        <v>10</v>
      </c>
      <c r="D47" s="12" t="s">
        <v>20</v>
      </c>
      <c r="E47" s="155" t="s">
        <v>21</v>
      </c>
      <c r="F47" s="155"/>
      <c r="G47" s="12" t="s">
        <v>9</v>
      </c>
      <c r="H47" s="12"/>
      <c r="I47" s="12" t="s">
        <v>10</v>
      </c>
      <c r="J47" s="12" t="s">
        <v>20</v>
      </c>
      <c r="K47" s="155" t="s">
        <v>22</v>
      </c>
      <c r="L47" s="158"/>
    </row>
    <row r="48" spans="1:12" x14ac:dyDescent="0.25">
      <c r="A48" s="15"/>
      <c r="B48" s="10"/>
      <c r="C48" s="10"/>
      <c r="D48" s="9"/>
      <c r="E48" s="64"/>
      <c r="F48" s="10"/>
      <c r="G48" s="10"/>
      <c r="H48" s="10"/>
      <c r="I48" s="10"/>
      <c r="J48" s="10"/>
      <c r="K48" s="10"/>
      <c r="L48" s="62"/>
    </row>
    <row r="49" spans="1:12" x14ac:dyDescent="0.25">
      <c r="A49" s="15"/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62"/>
    </row>
    <row r="50" spans="1:12" x14ac:dyDescent="0.25">
      <c r="A50" s="15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62"/>
    </row>
    <row r="51" spans="1:12" x14ac:dyDescent="0.25">
      <c r="A51" s="15"/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62"/>
    </row>
    <row r="52" spans="1:12" x14ac:dyDescent="0.25">
      <c r="A52" s="15"/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62"/>
    </row>
    <row r="53" spans="1:12" x14ac:dyDescent="0.25">
      <c r="A53" s="15"/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62"/>
    </row>
    <row r="54" spans="1:12" x14ac:dyDescent="0.25">
      <c r="A54" s="15"/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62"/>
    </row>
    <row r="55" spans="1:12" x14ac:dyDescent="0.25">
      <c r="A55" s="15"/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62"/>
    </row>
    <row r="56" spans="1:12" ht="18.75" thickBot="1" x14ac:dyDescent="0.3">
      <c r="A56" s="16"/>
      <c r="B56" s="17"/>
      <c r="C56" s="17"/>
      <c r="D56" s="17"/>
      <c r="E56" s="17"/>
      <c r="F56" s="17"/>
      <c r="G56" s="17"/>
      <c r="H56" s="17"/>
      <c r="I56" s="17"/>
      <c r="J56" s="17"/>
      <c r="K56" s="17"/>
      <c r="L56" s="63"/>
    </row>
    <row r="58" spans="1:12" ht="19.5" thickBot="1" x14ac:dyDescent="0.3">
      <c r="A58" s="137" t="s">
        <v>16</v>
      </c>
      <c r="B58" s="141"/>
      <c r="C58" s="141"/>
      <c r="D58" s="141"/>
      <c r="E58" s="141"/>
      <c r="F58" s="141"/>
      <c r="G58" s="141"/>
      <c r="H58" s="141"/>
      <c r="I58" s="137" t="s">
        <v>18</v>
      </c>
      <c r="J58" s="141"/>
      <c r="K58" s="159"/>
      <c r="L58" s="159"/>
    </row>
    <row r="59" spans="1:12" ht="18.75" thickBot="1" x14ac:dyDescent="0.3">
      <c r="A59" s="11" t="s">
        <v>9</v>
      </c>
      <c r="B59" s="12"/>
      <c r="C59" s="12" t="s">
        <v>10</v>
      </c>
      <c r="D59" s="12" t="s">
        <v>20</v>
      </c>
      <c r="E59" s="155" t="s">
        <v>21</v>
      </c>
      <c r="F59" s="155"/>
      <c r="G59" s="12" t="s">
        <v>9</v>
      </c>
      <c r="H59" s="12"/>
      <c r="I59" s="12" t="s">
        <v>10</v>
      </c>
      <c r="J59" s="12" t="s">
        <v>20</v>
      </c>
      <c r="K59" s="155" t="s">
        <v>22</v>
      </c>
      <c r="L59" s="158"/>
    </row>
    <row r="60" spans="1:12" x14ac:dyDescent="0.25">
      <c r="A60" s="15"/>
      <c r="B60" s="10"/>
      <c r="C60" s="10"/>
      <c r="D60" s="10"/>
      <c r="E60" s="10"/>
      <c r="F60" s="10"/>
      <c r="G60" s="10"/>
      <c r="H60" s="10"/>
      <c r="I60" s="10"/>
      <c r="J60" s="9"/>
      <c r="K60" s="23"/>
      <c r="L60" s="62"/>
    </row>
    <row r="61" spans="1:12" x14ac:dyDescent="0.25">
      <c r="A61" s="15"/>
      <c r="B61" s="10"/>
      <c r="C61" s="10"/>
      <c r="D61" s="10"/>
      <c r="E61" s="10"/>
      <c r="F61" s="10"/>
      <c r="G61" s="10"/>
      <c r="H61" s="10"/>
      <c r="I61" s="10"/>
      <c r="J61" s="9"/>
      <c r="K61" s="29"/>
      <c r="L61" s="62"/>
    </row>
    <row r="62" spans="1:12" x14ac:dyDescent="0.25">
      <c r="A62" s="15"/>
      <c r="B62" s="10"/>
      <c r="C62" s="10"/>
      <c r="D62" s="9"/>
      <c r="E62" s="55"/>
      <c r="F62" s="10"/>
      <c r="G62" s="10"/>
      <c r="H62" s="10"/>
      <c r="I62" s="10"/>
      <c r="J62" s="10"/>
      <c r="K62" s="10"/>
      <c r="L62" s="62"/>
    </row>
    <row r="63" spans="1:12" x14ac:dyDescent="0.25">
      <c r="A63" s="15"/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62"/>
    </row>
    <row r="64" spans="1:12" x14ac:dyDescent="0.25">
      <c r="A64" s="15"/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62"/>
    </row>
    <row r="65" spans="1:12" x14ac:dyDescent="0.25">
      <c r="A65" s="15"/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62"/>
    </row>
    <row r="66" spans="1:12" x14ac:dyDescent="0.25">
      <c r="A66" s="15"/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62"/>
    </row>
    <row r="67" spans="1:12" x14ac:dyDescent="0.25">
      <c r="A67" s="15"/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62"/>
    </row>
    <row r="68" spans="1:12" ht="18.75" thickBot="1" x14ac:dyDescent="0.3">
      <c r="A68" s="16"/>
      <c r="B68" s="17"/>
      <c r="C68" s="17"/>
      <c r="D68" s="17"/>
      <c r="E68" s="17"/>
      <c r="F68" s="17"/>
      <c r="G68" s="17"/>
      <c r="H68" s="17"/>
      <c r="I68" s="17"/>
      <c r="J68" s="17"/>
      <c r="K68" s="17"/>
      <c r="L68" s="63"/>
    </row>
    <row r="70" spans="1:12" ht="19.5" thickBot="1" x14ac:dyDescent="0.3">
      <c r="A70" s="137"/>
      <c r="B70" s="141"/>
      <c r="C70" s="141"/>
      <c r="D70" s="141"/>
      <c r="E70" s="141"/>
      <c r="F70" s="141"/>
      <c r="G70" s="141"/>
      <c r="H70" s="141"/>
      <c r="I70" s="137" t="s">
        <v>18</v>
      </c>
      <c r="J70" s="141"/>
      <c r="K70" s="159"/>
      <c r="L70" s="159"/>
    </row>
    <row r="71" spans="1:12" ht="18.75" thickBot="1" x14ac:dyDescent="0.3">
      <c r="A71" s="11" t="s">
        <v>9</v>
      </c>
      <c r="B71" s="12"/>
      <c r="C71" s="12" t="s">
        <v>10</v>
      </c>
      <c r="D71" s="12" t="s">
        <v>20</v>
      </c>
      <c r="E71" s="155" t="s">
        <v>21</v>
      </c>
      <c r="F71" s="155"/>
      <c r="G71" s="12" t="s">
        <v>9</v>
      </c>
      <c r="H71" s="12"/>
      <c r="I71" s="12" t="s">
        <v>10</v>
      </c>
      <c r="J71" s="12" t="s">
        <v>20</v>
      </c>
      <c r="K71" s="155" t="s">
        <v>22</v>
      </c>
      <c r="L71" s="158"/>
    </row>
    <row r="72" spans="1:12" x14ac:dyDescent="0.25">
      <c r="A72" s="15"/>
      <c r="B72" s="10"/>
      <c r="C72" s="10"/>
      <c r="D72" s="10"/>
      <c r="E72" s="10"/>
      <c r="F72" s="10"/>
      <c r="G72" s="10"/>
      <c r="H72" s="10"/>
      <c r="I72" s="10"/>
      <c r="J72" s="9"/>
      <c r="K72" s="64"/>
      <c r="L72" s="62"/>
    </row>
    <row r="73" spans="1:12" x14ac:dyDescent="0.25">
      <c r="A73" s="15"/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62"/>
    </row>
    <row r="74" spans="1:12" x14ac:dyDescent="0.25">
      <c r="A74" s="15"/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62"/>
    </row>
    <row r="75" spans="1:12" x14ac:dyDescent="0.25">
      <c r="A75" s="15"/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62"/>
    </row>
    <row r="76" spans="1:12" x14ac:dyDescent="0.25">
      <c r="A76" s="15"/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62"/>
    </row>
    <row r="77" spans="1:12" x14ac:dyDescent="0.25">
      <c r="A77" s="15"/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62"/>
    </row>
    <row r="78" spans="1:12" x14ac:dyDescent="0.25">
      <c r="A78" s="15"/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62"/>
    </row>
    <row r="79" spans="1:12" x14ac:dyDescent="0.25">
      <c r="A79" s="15"/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62"/>
    </row>
    <row r="80" spans="1:12" ht="18.75" thickBot="1" x14ac:dyDescent="0.3">
      <c r="A80" s="16"/>
      <c r="B80" s="17"/>
      <c r="C80" s="17"/>
      <c r="D80" s="17"/>
      <c r="E80" s="17"/>
      <c r="F80" s="17"/>
      <c r="G80" s="17"/>
      <c r="H80" s="17"/>
      <c r="I80" s="17"/>
      <c r="J80" s="17"/>
      <c r="K80" s="17"/>
      <c r="L80" s="63"/>
    </row>
    <row r="82" spans="1:12" ht="19.5" thickBot="1" x14ac:dyDescent="0.3">
      <c r="A82" s="137" t="s">
        <v>1</v>
      </c>
      <c r="B82" s="141"/>
      <c r="C82" s="141"/>
      <c r="D82" s="141"/>
      <c r="E82" s="141"/>
      <c r="F82" s="141"/>
      <c r="G82" s="141"/>
      <c r="H82" s="141"/>
      <c r="I82" s="137" t="s">
        <v>18</v>
      </c>
      <c r="J82" s="141"/>
      <c r="K82" s="159"/>
      <c r="L82" s="159"/>
    </row>
    <row r="83" spans="1:12" ht="18.75" thickBot="1" x14ac:dyDescent="0.3">
      <c r="A83" s="11" t="s">
        <v>9</v>
      </c>
      <c r="B83" s="12"/>
      <c r="C83" s="12" t="s">
        <v>10</v>
      </c>
      <c r="D83" s="12" t="s">
        <v>20</v>
      </c>
      <c r="E83" s="155" t="s">
        <v>21</v>
      </c>
      <c r="F83" s="155"/>
      <c r="G83" s="12" t="s">
        <v>9</v>
      </c>
      <c r="H83" s="12"/>
      <c r="I83" s="12" t="s">
        <v>10</v>
      </c>
      <c r="J83" s="12" t="s">
        <v>20</v>
      </c>
      <c r="K83" s="155" t="s">
        <v>22</v>
      </c>
      <c r="L83" s="158"/>
    </row>
    <row r="84" spans="1:12" x14ac:dyDescent="0.25">
      <c r="A84" s="15"/>
      <c r="B84" s="10"/>
      <c r="C84" s="10"/>
      <c r="D84" s="10"/>
      <c r="E84" s="10"/>
      <c r="F84" s="10"/>
      <c r="G84" s="10"/>
      <c r="H84" s="10"/>
      <c r="I84" s="10"/>
      <c r="J84" s="9"/>
      <c r="K84" s="64"/>
      <c r="L84" s="62"/>
    </row>
    <row r="85" spans="1:12" x14ac:dyDescent="0.25">
      <c r="A85" s="15"/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62"/>
    </row>
    <row r="86" spans="1:12" x14ac:dyDescent="0.25">
      <c r="A86" s="15"/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62"/>
    </row>
    <row r="87" spans="1:12" x14ac:dyDescent="0.25">
      <c r="A87" s="15"/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62"/>
    </row>
    <row r="88" spans="1:12" x14ac:dyDescent="0.25">
      <c r="A88" s="15"/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62"/>
    </row>
    <row r="89" spans="1:12" x14ac:dyDescent="0.25">
      <c r="A89" s="15"/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62"/>
    </row>
    <row r="90" spans="1:12" x14ac:dyDescent="0.25">
      <c r="A90" s="15"/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62"/>
    </row>
    <row r="91" spans="1:12" x14ac:dyDescent="0.25">
      <c r="A91" s="15"/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62"/>
    </row>
    <row r="92" spans="1:12" ht="18.75" thickBot="1" x14ac:dyDescent="0.3">
      <c r="A92" s="16"/>
      <c r="B92" s="17"/>
      <c r="C92" s="17"/>
      <c r="D92" s="17"/>
      <c r="E92" s="17"/>
      <c r="F92" s="17"/>
      <c r="G92" s="17"/>
      <c r="H92" s="17"/>
      <c r="I92" s="17"/>
      <c r="J92" s="17"/>
      <c r="K92" s="17"/>
      <c r="L92" s="63"/>
    </row>
    <row r="94" spans="1:12" ht="19.5" thickBot="1" x14ac:dyDescent="0.3">
      <c r="A94" s="137"/>
      <c r="B94" s="141"/>
      <c r="C94" s="141"/>
      <c r="D94" s="141"/>
      <c r="E94" s="141"/>
      <c r="F94" s="141"/>
      <c r="G94" s="141"/>
      <c r="H94" s="141"/>
      <c r="I94" s="137" t="s">
        <v>18</v>
      </c>
      <c r="J94" s="141"/>
      <c r="K94" s="159"/>
      <c r="L94" s="159"/>
    </row>
    <row r="95" spans="1:12" ht="18.75" thickBot="1" x14ac:dyDescent="0.3">
      <c r="A95" s="11" t="s">
        <v>9</v>
      </c>
      <c r="B95" s="12"/>
      <c r="C95" s="12" t="s">
        <v>10</v>
      </c>
      <c r="D95" s="12" t="s">
        <v>20</v>
      </c>
      <c r="E95" s="155" t="s">
        <v>21</v>
      </c>
      <c r="F95" s="155"/>
      <c r="G95" s="12" t="s">
        <v>9</v>
      </c>
      <c r="H95" s="12"/>
      <c r="I95" s="12" t="s">
        <v>10</v>
      </c>
      <c r="J95" s="12" t="s">
        <v>20</v>
      </c>
      <c r="K95" s="155" t="s">
        <v>22</v>
      </c>
      <c r="L95" s="158"/>
    </row>
    <row r="96" spans="1:12" x14ac:dyDescent="0.25">
      <c r="A96" s="15"/>
      <c r="B96" s="10"/>
      <c r="C96" s="10"/>
      <c r="D96" s="9"/>
      <c r="E96" s="65"/>
      <c r="F96" s="10"/>
      <c r="G96" s="10"/>
      <c r="H96" s="10"/>
      <c r="I96" s="10"/>
      <c r="J96" s="10"/>
      <c r="K96" s="64"/>
      <c r="L96" s="62"/>
    </row>
    <row r="97" spans="1:12" x14ac:dyDescent="0.25">
      <c r="A97" s="15"/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62"/>
    </row>
    <row r="98" spans="1:12" x14ac:dyDescent="0.25">
      <c r="A98" s="15"/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62"/>
    </row>
    <row r="99" spans="1:12" x14ac:dyDescent="0.25">
      <c r="A99" s="15"/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62"/>
    </row>
    <row r="100" spans="1:12" x14ac:dyDescent="0.25">
      <c r="A100" s="15"/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62"/>
    </row>
    <row r="101" spans="1:12" x14ac:dyDescent="0.25">
      <c r="A101" s="15"/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62"/>
    </row>
    <row r="102" spans="1:12" x14ac:dyDescent="0.25">
      <c r="A102" s="15"/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62"/>
    </row>
    <row r="103" spans="1:12" x14ac:dyDescent="0.25">
      <c r="A103" s="15"/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62"/>
    </row>
    <row r="104" spans="1:12" ht="18.75" thickBot="1" x14ac:dyDescent="0.3">
      <c r="A104" s="16"/>
      <c r="B104" s="17"/>
      <c r="C104" s="17"/>
      <c r="D104" s="17"/>
      <c r="E104" s="17"/>
      <c r="F104" s="17"/>
      <c r="G104" s="17"/>
      <c r="H104" s="17"/>
      <c r="I104" s="17"/>
      <c r="J104" s="17"/>
      <c r="K104" s="17"/>
      <c r="L104" s="63"/>
    </row>
  </sheetData>
  <mergeCells count="48">
    <mergeCell ref="A94:H94"/>
    <mergeCell ref="I94:J94"/>
    <mergeCell ref="K94:L94"/>
    <mergeCell ref="E95:F95"/>
    <mergeCell ref="K95:L95"/>
    <mergeCell ref="E83:F83"/>
    <mergeCell ref="K83:L83"/>
    <mergeCell ref="A58:H58"/>
    <mergeCell ref="I58:J58"/>
    <mergeCell ref="K58:L58"/>
    <mergeCell ref="E59:F59"/>
    <mergeCell ref="K59:L59"/>
    <mergeCell ref="A70:H70"/>
    <mergeCell ref="I70:J70"/>
    <mergeCell ref="K70:L70"/>
    <mergeCell ref="E71:F71"/>
    <mergeCell ref="K71:L71"/>
    <mergeCell ref="A82:H82"/>
    <mergeCell ref="I82:J82"/>
    <mergeCell ref="K82:L82"/>
    <mergeCell ref="E47:F47"/>
    <mergeCell ref="K47:L47"/>
    <mergeCell ref="A24:H24"/>
    <mergeCell ref="I24:J24"/>
    <mergeCell ref="K24:L24"/>
    <mergeCell ref="E25:F25"/>
    <mergeCell ref="K25:L25"/>
    <mergeCell ref="A34:H34"/>
    <mergeCell ref="I34:J34"/>
    <mergeCell ref="K34:L34"/>
    <mergeCell ref="E35:F35"/>
    <mergeCell ref="K35:L35"/>
    <mergeCell ref="A46:H46"/>
    <mergeCell ref="I46:J46"/>
    <mergeCell ref="K46:L46"/>
    <mergeCell ref="A13:L13"/>
    <mergeCell ref="A14:H14"/>
    <mergeCell ref="I14:J14"/>
    <mergeCell ref="K14:L14"/>
    <mergeCell ref="E15:F15"/>
    <mergeCell ref="K15:L15"/>
    <mergeCell ref="E4:F4"/>
    <mergeCell ref="K4:L4"/>
    <mergeCell ref="A1:L1"/>
    <mergeCell ref="A2:H2"/>
    <mergeCell ref="I2:J2"/>
    <mergeCell ref="K2:L2"/>
    <mergeCell ref="A3:L3"/>
  </mergeCells>
  <printOptions horizontalCentered="1" verticalCentered="1"/>
  <pageMargins left="0.05" right="0.05" top="0.55000000000000004" bottom="0.55000000000000004" header="0" footer="0"/>
  <pageSetup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1A2ED8-A1C0-4C76-9728-AE6B142AEBBE}">
  <dimension ref="A1:D17"/>
  <sheetViews>
    <sheetView workbookViewId="0">
      <selection activeCell="A7" sqref="A7:A15"/>
    </sheetView>
  </sheetViews>
  <sheetFormatPr defaultColWidth="10.8515625" defaultRowHeight="18.75" x14ac:dyDescent="0.25"/>
  <cols>
    <col min="1" max="1" width="37.609375" style="1" customWidth="1"/>
    <col min="2" max="2" width="22.93359375" style="1" customWidth="1"/>
    <col min="3" max="3" width="1.23046875" style="1" customWidth="1"/>
    <col min="4" max="4" width="22.93359375" style="1" customWidth="1"/>
    <col min="5" max="16384" width="10.8515625" style="1"/>
  </cols>
  <sheetData>
    <row r="1" spans="1:4" x14ac:dyDescent="0.25">
      <c r="A1" s="147"/>
      <c r="B1" s="147"/>
      <c r="C1" s="147"/>
      <c r="D1" s="147"/>
    </row>
    <row r="2" spans="1:4" x14ac:dyDescent="0.25">
      <c r="A2" s="148" t="s">
        <v>24</v>
      </c>
      <c r="B2" s="148"/>
      <c r="C2" s="148"/>
      <c r="D2" s="148"/>
    </row>
    <row r="3" spans="1:4" x14ac:dyDescent="0.25">
      <c r="A3" s="148"/>
      <c r="B3" s="148"/>
      <c r="C3" s="148"/>
      <c r="D3" s="148"/>
    </row>
    <row r="4" spans="1:4" x14ac:dyDescent="0.25">
      <c r="A4" s="148" t="s">
        <v>25</v>
      </c>
      <c r="B4" s="148"/>
      <c r="C4" s="148"/>
      <c r="D4" s="148"/>
    </row>
    <row r="5" spans="1:4" x14ac:dyDescent="0.25">
      <c r="A5" s="149"/>
      <c r="B5" s="149"/>
      <c r="C5" s="149"/>
      <c r="D5" s="149"/>
    </row>
    <row r="6" spans="1:4" s="8" customFormat="1" x14ac:dyDescent="0.25">
      <c r="A6" s="20" t="s">
        <v>26</v>
      </c>
      <c r="B6" s="21"/>
      <c r="C6" s="145"/>
      <c r="D6" s="22"/>
    </row>
    <row r="7" spans="1:4" x14ac:dyDescent="0.25">
      <c r="A7" s="18"/>
      <c r="B7" s="41"/>
      <c r="C7" s="146"/>
      <c r="D7" s="19"/>
    </row>
    <row r="8" spans="1:4" x14ac:dyDescent="0.25">
      <c r="A8" s="18"/>
      <c r="B8" s="41"/>
      <c r="C8" s="146"/>
      <c r="D8" s="19"/>
    </row>
    <row r="9" spans="1:4" x14ac:dyDescent="0.25">
      <c r="A9" s="18"/>
      <c r="B9" s="41"/>
      <c r="C9" s="146"/>
      <c r="D9" s="19"/>
    </row>
    <row r="10" spans="1:4" x14ac:dyDescent="0.25">
      <c r="A10" s="18"/>
      <c r="B10" s="42"/>
      <c r="C10" s="146"/>
      <c r="D10" s="19"/>
    </row>
    <row r="11" spans="1:4" x14ac:dyDescent="0.25">
      <c r="A11" s="18"/>
      <c r="B11" s="41"/>
      <c r="C11" s="146"/>
      <c r="D11" s="19"/>
    </row>
    <row r="12" spans="1:4" x14ac:dyDescent="0.25">
      <c r="A12" s="18"/>
      <c r="B12" s="2"/>
      <c r="C12" s="146"/>
      <c r="D12" s="43"/>
    </row>
    <row r="13" spans="1:4" x14ac:dyDescent="0.25">
      <c r="A13" s="18"/>
      <c r="B13" s="2"/>
      <c r="C13" s="146"/>
      <c r="D13" s="43"/>
    </row>
    <row r="14" spans="1:4" x14ac:dyDescent="0.25">
      <c r="A14" s="18"/>
      <c r="B14" s="2"/>
      <c r="C14" s="146"/>
      <c r="D14" s="43"/>
    </row>
    <row r="15" spans="1:4" x14ac:dyDescent="0.25">
      <c r="A15" s="18"/>
      <c r="B15" s="42"/>
      <c r="C15" s="146"/>
      <c r="D15" s="19"/>
    </row>
    <row r="16" spans="1:4" ht="19.5" thickBot="1" x14ac:dyDescent="0.3">
      <c r="A16" s="8" t="s">
        <v>27</v>
      </c>
      <c r="B16" s="44">
        <f>SUM(B7:B15)</f>
        <v>0</v>
      </c>
      <c r="C16" s="37"/>
      <c r="D16" s="44">
        <f>SUM(D12:D15)</f>
        <v>0</v>
      </c>
    </row>
    <row r="17" ht="19.5" thickTop="1" x14ac:dyDescent="0.25"/>
  </sheetData>
  <mergeCells count="6">
    <mergeCell ref="C6:C15"/>
    <mergeCell ref="A1:D1"/>
    <mergeCell ref="A2:D2"/>
    <mergeCell ref="A3:D3"/>
    <mergeCell ref="A4:D4"/>
    <mergeCell ref="A5:D5"/>
  </mergeCells>
  <pageMargins left="0.7" right="0.7" top="0.75" bottom="0.75" header="0.3" footer="0.3"/>
  <pageSetup orientation="portrait" horizontalDpi="0" verticalDpi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08C0B7E3A79604D8F87E99E08D90AB2" ma:contentTypeVersion="11" ma:contentTypeDescription="Crear nuevo documento." ma:contentTypeScope="" ma:versionID="7f7e9dfe91be2f9ec518f7dd74cc0e86">
  <xsd:schema xmlns:xsd="http://www.w3.org/2001/XMLSchema" xmlns:xs="http://www.w3.org/2001/XMLSchema" xmlns:p="http://schemas.microsoft.com/office/2006/metadata/properties" xmlns:ns2="1ec974d5-79f4-40f9-ad07-9a7317027a8d" xmlns:ns3="9395d257-cfb8-45fb-b9fe-b8a70affdbb0" targetNamespace="http://schemas.microsoft.com/office/2006/metadata/properties" ma:root="true" ma:fieldsID="d0d11965158c2852f61c908ab1f86646" ns2:_="" ns3:_="">
    <xsd:import namespace="1ec974d5-79f4-40f9-ad07-9a7317027a8d"/>
    <xsd:import namespace="9395d257-cfb8-45fb-b9fe-b8a70affdbb0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c974d5-79f4-40f9-ad07-9a7317027a8d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Etiquetas de imagen" ma:readOnly="false" ma:fieldId="{5cf76f15-5ced-4ddc-b409-7134ff3c332f}" ma:taxonomyMulti="true" ma:sspId="1348c8ee-fc48-4349-a3df-b5c7dc9d708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95d257-cfb8-45fb-b9fe-b8a70affdbb0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ee38ee28-1988-4a93-aca8-043500029078}" ma:internalName="TaxCatchAll" ma:showField="CatchAllData" ma:web="9395d257-cfb8-45fb-b9fe-b8a70affdbb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1ec974d5-79f4-40f9-ad07-9a7317027a8d" xsi:nil="true"/>
    <lcf76f155ced4ddcb4097134ff3c332f xmlns="1ec974d5-79f4-40f9-ad07-9a7317027a8d">
      <Terms xmlns="http://schemas.microsoft.com/office/infopath/2007/PartnerControls"/>
    </lcf76f155ced4ddcb4097134ff3c332f>
    <TaxCatchAll xmlns="9395d257-cfb8-45fb-b9fe-b8a70affdbb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8B68E21-2016-4FEC-B5B7-E8483572B89B}"/>
</file>

<file path=customXml/itemProps2.xml><?xml version="1.0" encoding="utf-8"?>
<ds:datastoreItem xmlns:ds="http://schemas.openxmlformats.org/officeDocument/2006/customXml" ds:itemID="{0B4F1464-70DC-40EC-9643-1B9BBED83215}">
  <ds:schemaRefs>
    <ds:schemaRef ds:uri="http://schemas.microsoft.com/office/2006/metadata/properties"/>
    <ds:schemaRef ds:uri="http://www.w3.org/2000/xmlns/"/>
  </ds:schemaRefs>
</ds:datastoreItem>
</file>

<file path=customXml/itemProps3.xml><?xml version="1.0" encoding="utf-8"?>
<ds:datastoreItem xmlns:ds="http://schemas.openxmlformats.org/officeDocument/2006/customXml" ds:itemID="{C049EEC5-8AE9-4EBE-A0F0-2A145294D9B9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PROBLEMA</vt:lpstr>
      <vt:lpstr>DIARIO</vt:lpstr>
      <vt:lpstr>MAYOR</vt:lpstr>
      <vt:lpstr>BALANCE</vt:lpstr>
      <vt:lpstr>PROBLEMA No. 2</vt:lpstr>
      <vt:lpstr>DIARIO (2)</vt:lpstr>
      <vt:lpstr>MAYOR (2)</vt:lpstr>
      <vt:lpstr>BALANCE (2)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Usuario de Microsoft Office</dc:creator>
  <cp:keywords/>
  <dc:description/>
  <cp:lastModifiedBy>JAVIER FORCHINEY</cp:lastModifiedBy>
  <cp:revision/>
  <dcterms:created xsi:type="dcterms:W3CDTF">2017-09-19T17:58:02Z</dcterms:created>
  <dcterms:modified xsi:type="dcterms:W3CDTF">2026-05-21T16:11:13Z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0x010100508C0B7E3A79604D8F87E99E08D90AB2</vt:lpwstr>
  </property>
</Properties>
</file>