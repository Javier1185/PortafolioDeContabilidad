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trA\Downloads\"/>
    </mc:Choice>
  </mc:AlternateContent>
  <xr:revisionPtr revIDLastSave="0" documentId="13_ncr:1_{44213795-5E6A-4DBC-A7AB-7C8AA10C6AB3}" xr6:coauthVersionLast="47" xr6:coauthVersionMax="47" xr10:uidLastSave="{00000000-0000-0000-0000-000000000000}"/>
  <bookViews>
    <workbookView xWindow="-108" yWindow="-108" windowWidth="23256" windowHeight="12456" firstSheet="2" activeTab="6" xr2:uid="{8E2AE066-F1E4-4B8E-866C-47079C17A319}"/>
  </bookViews>
  <sheets>
    <sheet name="CALCULOS SALARIALES" sheetId="1" r:id="rId1"/>
    <sheet name=" PRESTAC. SOC.-OBRERO" sheetId="2" r:id="rId2"/>
    <sheet name=" PRESTAC. SOC.-PATRONO" sheetId="5" r:id="rId3"/>
    <sheet name="ISR" sheetId="3" r:id="rId4"/>
    <sheet name="XIII - MES" sheetId="4" r:id="rId5"/>
    <sheet name="VACACIONES" sheetId="6" r:id="rId6"/>
    <sheet name="PLANILLA QUINCENA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7" l="1"/>
  <c r="F13" i="5"/>
  <c r="I13" i="5"/>
  <c r="F3" i="5" s="1"/>
  <c r="F16" i="5" l="1"/>
  <c r="F6" i="5"/>
  <c r="F5" i="5"/>
  <c r="F14" i="2"/>
  <c r="F17" i="2" s="1"/>
  <c r="F16" i="2"/>
  <c r="F6" i="2"/>
  <c r="F5" i="2"/>
  <c r="F7" i="2" s="1"/>
  <c r="F10" i="2" s="1"/>
  <c r="F11" i="2" s="1"/>
  <c r="O25" i="1"/>
  <c r="O24" i="1"/>
  <c r="O23" i="1"/>
  <c r="O22" i="1"/>
  <c r="O21" i="1"/>
  <c r="O20" i="1"/>
  <c r="O19" i="1"/>
  <c r="O18" i="1"/>
  <c r="O12" i="1"/>
  <c r="O11" i="1"/>
  <c r="O10" i="1"/>
  <c r="O9" i="1"/>
  <c r="O8" i="1"/>
  <c r="O7" i="1"/>
  <c r="O6" i="1"/>
  <c r="O5" i="1"/>
  <c r="G36" i="1"/>
  <c r="G35" i="1"/>
  <c r="G34" i="1"/>
  <c r="G33" i="1"/>
  <c r="G32" i="1"/>
  <c r="G31" i="1"/>
  <c r="G30" i="1"/>
  <c r="G29" i="1"/>
  <c r="F25" i="1"/>
  <c r="F24" i="1"/>
  <c r="F23" i="1"/>
  <c r="F22" i="1"/>
  <c r="F21" i="1"/>
  <c r="F20" i="1"/>
  <c r="F19" i="1"/>
  <c r="F18" i="1"/>
  <c r="D37" i="7"/>
  <c r="E35" i="7"/>
  <c r="E36" i="7"/>
  <c r="E34" i="7"/>
  <c r="E33" i="7"/>
  <c r="E37" i="7" s="1"/>
  <c r="S6" i="7"/>
  <c r="S7" i="7"/>
  <c r="T7" i="7" s="1"/>
  <c r="S8" i="7"/>
  <c r="S9" i="7"/>
  <c r="T9" i="7" s="1"/>
  <c r="S10" i="7"/>
  <c r="S11" i="7"/>
  <c r="T11" i="7" s="1"/>
  <c r="S12" i="7"/>
  <c r="S13" i="7"/>
  <c r="S14" i="7"/>
  <c r="S15" i="7"/>
  <c r="T15" i="7" s="1"/>
  <c r="S16" i="7"/>
  <c r="S17" i="7"/>
  <c r="T17" i="7" s="1"/>
  <c r="S18" i="7"/>
  <c r="S19" i="7"/>
  <c r="T19" i="7" s="1"/>
  <c r="S20" i="7"/>
  <c r="S21" i="7"/>
  <c r="S22" i="7"/>
  <c r="T6" i="7"/>
  <c r="T8" i="7"/>
  <c r="T10" i="7"/>
  <c r="T12" i="7"/>
  <c r="T13" i="7"/>
  <c r="T14" i="7"/>
  <c r="T16" i="7"/>
  <c r="T18" i="7"/>
  <c r="T20" i="7"/>
  <c r="T21" i="7"/>
  <c r="T22" i="7"/>
  <c r="T5" i="7"/>
  <c r="S5" i="7"/>
  <c r="R23" i="7"/>
  <c r="D34" i="7"/>
  <c r="D33" i="7"/>
  <c r="C35" i="7"/>
  <c r="C30" i="7"/>
  <c r="C29" i="7"/>
  <c r="F15" i="5" l="1"/>
  <c r="F17" i="5" s="1"/>
  <c r="F20" i="5" s="1"/>
  <c r="F7" i="5"/>
  <c r="F10" i="5" s="1"/>
  <c r="F18" i="2"/>
  <c r="F21" i="2" s="1"/>
  <c r="F22" i="2" s="1"/>
  <c r="S23" i="7"/>
  <c r="T23" i="7"/>
  <c r="D36" i="7" s="1"/>
  <c r="C36" i="7" l="1"/>
  <c r="C37" i="7" s="1"/>
  <c r="H23" i="7" l="1"/>
  <c r="L23" i="7"/>
  <c r="F23" i="7"/>
  <c r="G6" i="7"/>
  <c r="I6" i="7" s="1"/>
  <c r="M6" i="7" s="1"/>
  <c r="G7" i="7"/>
  <c r="I7" i="7" s="1"/>
  <c r="M7" i="7" s="1"/>
  <c r="G8" i="7"/>
  <c r="I8" i="7" s="1"/>
  <c r="G9" i="7"/>
  <c r="I9" i="7" s="1"/>
  <c r="K9" i="7" s="1"/>
  <c r="G10" i="7"/>
  <c r="I10" i="7" s="1"/>
  <c r="N10" i="7" s="1"/>
  <c r="G11" i="7"/>
  <c r="I11" i="7" s="1"/>
  <c r="N11" i="7" s="1"/>
  <c r="G12" i="7"/>
  <c r="I12" i="7" s="1"/>
  <c r="N12" i="7" s="1"/>
  <c r="G13" i="7"/>
  <c r="I13" i="7" s="1"/>
  <c r="G14" i="7"/>
  <c r="I14" i="7" s="1"/>
  <c r="G15" i="7"/>
  <c r="I15" i="7" s="1"/>
  <c r="M15" i="7" s="1"/>
  <c r="G16" i="7"/>
  <c r="I16" i="7" s="1"/>
  <c r="G17" i="7"/>
  <c r="I17" i="7" s="1"/>
  <c r="G18" i="7"/>
  <c r="I18" i="7" s="1"/>
  <c r="N18" i="7" s="1"/>
  <c r="G19" i="7"/>
  <c r="I19" i="7" s="1"/>
  <c r="N19" i="7" s="1"/>
  <c r="G20" i="7"/>
  <c r="I20" i="7" s="1"/>
  <c r="N20" i="7" s="1"/>
  <c r="G21" i="7"/>
  <c r="I21" i="7" s="1"/>
  <c r="J21" i="7" s="1"/>
  <c r="G22" i="7"/>
  <c r="I22" i="7" s="1"/>
  <c r="G5" i="7"/>
  <c r="I5" i="7" s="1"/>
  <c r="M5" i="7" s="1"/>
  <c r="N9" i="7" l="1"/>
  <c r="I23" i="7"/>
  <c r="G23" i="7"/>
  <c r="K17" i="7"/>
  <c r="N17" i="7"/>
  <c r="J13" i="7"/>
  <c r="N13" i="7"/>
  <c r="M13" i="7"/>
  <c r="K16" i="7"/>
  <c r="M16" i="7"/>
  <c r="N16" i="7"/>
  <c r="K8" i="7"/>
  <c r="M8" i="7"/>
  <c r="N8" i="7"/>
  <c r="J22" i="7"/>
  <c r="N22" i="7"/>
  <c r="M22" i="7"/>
  <c r="K14" i="7"/>
  <c r="N14" i="7"/>
  <c r="M14" i="7"/>
  <c r="M21" i="7"/>
  <c r="N5" i="7"/>
  <c r="N15" i="7"/>
  <c r="O15" i="7" s="1"/>
  <c r="N7" i="7"/>
  <c r="O7" i="7" s="1"/>
  <c r="M20" i="7"/>
  <c r="O20" i="7" s="1"/>
  <c r="M12" i="7"/>
  <c r="O12" i="7" s="1"/>
  <c r="N6" i="7"/>
  <c r="O6" i="7" s="1"/>
  <c r="M19" i="7"/>
  <c r="O19" i="7" s="1"/>
  <c r="M11" i="7"/>
  <c r="O11" i="7" s="1"/>
  <c r="N21" i="7"/>
  <c r="M18" i="7"/>
  <c r="O18" i="7" s="1"/>
  <c r="M10" i="7"/>
  <c r="O10" i="7" s="1"/>
  <c r="J9" i="7"/>
  <c r="M17" i="7"/>
  <c r="M9" i="7"/>
  <c r="K11" i="7"/>
  <c r="J11" i="7"/>
  <c r="K20" i="7"/>
  <c r="J20" i="7"/>
  <c r="K12" i="7"/>
  <c r="J12" i="7"/>
  <c r="K18" i="7"/>
  <c r="J18" i="7"/>
  <c r="K19" i="7"/>
  <c r="J19" i="7"/>
  <c r="K10" i="7"/>
  <c r="J10" i="7"/>
  <c r="K5" i="7"/>
  <c r="J5" i="7"/>
  <c r="J15" i="7"/>
  <c r="K15" i="7"/>
  <c r="K7" i="7"/>
  <c r="J7" i="7"/>
  <c r="K6" i="7"/>
  <c r="J6" i="7"/>
  <c r="K13" i="7"/>
  <c r="J14" i="7"/>
  <c r="K22" i="7"/>
  <c r="J17" i="7"/>
  <c r="J16" i="7"/>
  <c r="J8" i="7"/>
  <c r="K21" i="7"/>
  <c r="A20" i="7"/>
  <c r="A21" i="7" s="1"/>
  <c r="A22" i="7" s="1"/>
  <c r="A6" i="7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C26" i="7" l="1"/>
  <c r="C34" i="7"/>
  <c r="C27" i="7"/>
  <c r="C28" i="7"/>
  <c r="P10" i="7"/>
  <c r="P20" i="7"/>
  <c r="M23" i="7"/>
  <c r="O9" i="7"/>
  <c r="P9" i="7" s="1"/>
  <c r="P18" i="7"/>
  <c r="J23" i="7"/>
  <c r="O5" i="7"/>
  <c r="N23" i="7"/>
  <c r="K23" i="7"/>
  <c r="O22" i="7"/>
  <c r="P22" i="7" s="1"/>
  <c r="P7" i="7"/>
  <c r="P19" i="7"/>
  <c r="P11" i="7"/>
  <c r="P6" i="7"/>
  <c r="O17" i="7"/>
  <c r="P17" i="7" s="1"/>
  <c r="O21" i="7"/>
  <c r="P21" i="7" s="1"/>
  <c r="P5" i="7"/>
  <c r="P12" i="7"/>
  <c r="P15" i="7"/>
  <c r="O8" i="7"/>
  <c r="P8" i="7" s="1"/>
  <c r="O13" i="7"/>
  <c r="P13" i="7" s="1"/>
  <c r="O14" i="7"/>
  <c r="P14" i="7" s="1"/>
  <c r="O16" i="7"/>
  <c r="P16" i="7" s="1"/>
  <c r="D46" i="6"/>
  <c r="D49" i="6" s="1"/>
  <c r="C43" i="6"/>
  <c r="J42" i="6"/>
  <c r="J41" i="6"/>
  <c r="J40" i="6"/>
  <c r="J39" i="6"/>
  <c r="J38" i="6"/>
  <c r="J37" i="6"/>
  <c r="J36" i="6"/>
  <c r="J35" i="6"/>
  <c r="J34" i="6"/>
  <c r="J33" i="6"/>
  <c r="J32" i="6"/>
  <c r="J4" i="6"/>
  <c r="J5" i="6"/>
  <c r="J6" i="6"/>
  <c r="J7" i="6"/>
  <c r="J8" i="6"/>
  <c r="J9" i="6"/>
  <c r="J10" i="6"/>
  <c r="J11" i="6"/>
  <c r="J12" i="6"/>
  <c r="J13" i="6"/>
  <c r="J3" i="6"/>
  <c r="C14" i="6"/>
  <c r="D17" i="6"/>
  <c r="D20" i="6" s="1"/>
  <c r="T18" i="4"/>
  <c r="P18" i="4"/>
  <c r="X17" i="4"/>
  <c r="T17" i="4"/>
  <c r="P17" i="4"/>
  <c r="P20" i="4" s="1"/>
  <c r="K17" i="4"/>
  <c r="K23" i="4" s="1"/>
  <c r="G18" i="4"/>
  <c r="G17" i="4"/>
  <c r="G23" i="4" s="1"/>
  <c r="C18" i="4"/>
  <c r="C17" i="4"/>
  <c r="C24" i="4" s="1"/>
  <c r="J16" i="3"/>
  <c r="L15" i="3"/>
  <c r="L13" i="3"/>
  <c r="L14" i="3"/>
  <c r="P23" i="7" l="1"/>
  <c r="O23" i="7"/>
  <c r="J14" i="6"/>
  <c r="J17" i="6" s="1"/>
  <c r="J20" i="6" s="1"/>
  <c r="J43" i="6"/>
  <c r="J46" i="6" s="1"/>
  <c r="J19" i="6"/>
  <c r="J49" i="6"/>
  <c r="J48" i="6"/>
  <c r="D48" i="6"/>
  <c r="D52" i="6" s="1"/>
  <c r="D19" i="6"/>
  <c r="D23" i="6" s="1"/>
  <c r="X25" i="4"/>
  <c r="X27" i="4" s="1"/>
  <c r="P21" i="4"/>
  <c r="P25" i="4" s="1"/>
  <c r="P27" i="4" s="1"/>
  <c r="T25" i="4"/>
  <c r="T27" i="4" s="1"/>
  <c r="K24" i="4"/>
  <c r="G24" i="4"/>
  <c r="K22" i="4"/>
  <c r="G20" i="4"/>
  <c r="G21" i="4"/>
  <c r="G22" i="4"/>
  <c r="C21" i="4"/>
  <c r="C20" i="4"/>
  <c r="C22" i="4"/>
  <c r="C23" i="4"/>
  <c r="L16" i="3"/>
  <c r="H21" i="3" s="1"/>
  <c r="K21" i="3" s="1"/>
  <c r="H25" i="3" s="1"/>
  <c r="K25" i="3" s="1"/>
  <c r="J52" i="6" l="1"/>
  <c r="J23" i="6"/>
  <c r="T29" i="4"/>
  <c r="T31" i="4" s="1"/>
  <c r="X29" i="4"/>
  <c r="X31" i="4" s="1"/>
  <c r="P29" i="4"/>
  <c r="P31" i="4" s="1"/>
  <c r="G25" i="4"/>
  <c r="G27" i="4" s="1"/>
  <c r="G29" i="4" s="1"/>
  <c r="K25" i="4"/>
  <c r="K27" i="4" s="1"/>
  <c r="K29" i="4" s="1"/>
  <c r="K31" i="4" s="1"/>
  <c r="C25" i="4"/>
  <c r="C27" i="4" s="1"/>
  <c r="F12" i="1"/>
  <c r="F11" i="1"/>
  <c r="F9" i="1"/>
  <c r="F10" i="1"/>
  <c r="F8" i="1"/>
  <c r="F7" i="1"/>
  <c r="F6" i="1"/>
  <c r="G31" i="4" l="1"/>
  <c r="C29" i="4"/>
  <c r="C31" i="4" s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tc={2841C350-EB00-4F7D-A827-5EC50B7D0477}</author>
    <author>tc={D4C759FD-AA5A-4BA6-98C3-A2DCE8C9D418}</author>
  </authors>
  <commentList>
    <comment ref="D9" authorId="0" shapeId="0" xr:uid="{2841C350-EB00-4F7D-A827-5EC50B7D04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Sume todas las deducciones</t>
      </text>
    </comment>
    <comment ref="D20" authorId="1" shapeId="0" xr:uid="{D4C759FD-AA5A-4BA6-98C3-A2DCE8C9D4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Sume todas las deducciones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tc={4FBEDF43-F8A8-4977-8C29-3CD2CC194209}</author>
  </authors>
  <commentList>
    <comment ref="A6" authorId="0" shapeId="0" xr:uid="{4FBEDF43-F8A8-4977-8C29-3CD2CC1942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Asignado por la Caja de Seguro Social a cada empresa, dependiendo de la actividad y peligrosidad de la misma.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tc={4DC5B094-5ABC-4D25-96E7-2B33DD290DEB}</author>
    <author>tc={9123E039-89D6-4FB8-B1C8-F766890E7595}</author>
    <author>tc={541CD3C8-0143-4B9B-B5E6-C86D32F26C27}</author>
    <author>tc={F6C07655-36A6-42D2-915C-5F9CEF58A3FA}</author>
    <author>CONTABILIDAD</author>
    <author>tc={51321A7F-EF87-4FE6-8AE6-C6697A1B5229}</author>
  </authors>
  <commentList>
    <comment ref="B26" authorId="0" shapeId="0" xr:uid="{4DC5B094-5ABC-4D25-96E7-2B33DD290D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Salarios x 0.090909 o Totalidad de Salarios entre 11</t>
      </text>
    </comment>
    <comment ref="B27" authorId="1" shapeId="0" xr:uid="{9123E039-89D6-4FB8-B1C8-F766890E75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Totalidad de Salarios  x 0.083333 o Totalidad de Salarios /12</t>
      </text>
    </comment>
    <comment ref="B28" authorId="2" shapeId="0" xr:uid="{541CD3C8-0143-4B9B-B5E6-C86D32F26C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1/52= 0.01923 es decir Totalidad de salarios por 1.923%</t>
      </text>
    </comment>
    <comment ref="B29" authorId="3" shapeId="0" xr:uid="{F6C07655-36A6-42D2-915C-5F9CEF58A3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Totalidad de Salarios x 6.53846%</t>
      </text>
    </comment>
    <comment ref="C33" authorId="4" shapeId="0" xr:uid="{1068BD7D-049E-4617-BF73-CB18A7FB1642}">
      <text>
        <r>
          <rPr>
            <sz val="8"/>
            <color indexed="81"/>
            <rFont val="Tahoma"/>
            <family val="2"/>
          </rPr>
          <t xml:space="preserve">A partir del 18/03/2025, el equivalente a 13.25% de los sueldos. </t>
        </r>
      </text>
    </comment>
    <comment ref="D33" authorId="4" shapeId="0" xr:uid="{E2C8BFBD-B8BD-47F8-8752-AD2CD66B08B4}">
      <text>
        <r>
          <rPr>
            <u/>
            <sz val="8"/>
            <color indexed="81"/>
            <rFont val="Tahoma"/>
            <family val="2"/>
          </rPr>
          <t>La cuota pagada por los empleados según la ley 51 del 27-12-2005 queda así: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A partir del 1-1-2013, el equivalente a 9.75% de los sueldos. </t>
        </r>
      </text>
    </comment>
    <comment ref="B36" authorId="5" shapeId="0" xr:uid="{51321A7F-EF87-4FE6-8AE6-C6697A1B52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S.S. PATRONO 10.75%</t>
      </text>
    </comment>
  </commentList>
</comments>
</file>

<file path=xl/sharedStrings.xml><?xml version="1.0" encoding="utf-8"?>
<sst xmlns="http://schemas.openxmlformats.org/spreadsheetml/2006/main" count="533" uniqueCount="181">
  <si>
    <t>REGIÓN</t>
  </si>
  <si>
    <t>ACTIVIDAD ECONOMICA</t>
  </si>
  <si>
    <t>UNIVERSIDAD TECNOLÓGICA DE PANAMÁ</t>
  </si>
  <si>
    <t>Deducciones</t>
  </si>
  <si>
    <t>S.S.</t>
  </si>
  <si>
    <t>S.E.</t>
  </si>
  <si>
    <t>PATRONO (Empleador)</t>
  </si>
  <si>
    <t>OBRERO (Empleado)</t>
  </si>
  <si>
    <t>Riesgo Profesional</t>
  </si>
  <si>
    <t>RATA POR HORA</t>
  </si>
  <si>
    <t>SALARIO MENSUAL</t>
  </si>
  <si>
    <t>CUOTA OBRERO-PATRONAL</t>
  </si>
  <si>
    <t xml:space="preserve">Industria Manufacturera - Pequeña Empresa </t>
  </si>
  <si>
    <t xml:space="preserve">Industria Manufacturera - Gran Empresa </t>
  </si>
  <si>
    <t>Actividades de Internet Café</t>
  </si>
  <si>
    <t>Spa, Clínicas Estéticas</t>
  </si>
  <si>
    <t>HORAS SEMANALES X</t>
  </si>
  <si>
    <t>RATA POR HORA X</t>
  </si>
  <si>
    <t xml:space="preserve">X SEMANA </t>
  </si>
  <si>
    <t>Construcción</t>
  </si>
  <si>
    <t>* La Rata por Hora debe buscarse en la tabla dada por el Ministerio de Trabajo y Desarrollo Laboral (MITRADEL) y varia cada 2 años con el ajuste de salario</t>
  </si>
  <si>
    <t>CALCULAR LA RATA POR HORA CUANDO SE SABE EL SALARIO MENSUAL - Forma 2</t>
  </si>
  <si>
    <t xml:space="preserve">RATA POR HORA </t>
  </si>
  <si>
    <r>
      <t xml:space="preserve">HORAS SEMANALES </t>
    </r>
    <r>
      <rPr>
        <sz val="11"/>
        <color theme="0"/>
        <rFont val="Calibri"/>
        <family val="2"/>
      </rPr>
      <t>÷</t>
    </r>
  </si>
  <si>
    <r>
      <t xml:space="preserve">SALARIO MENSUAL </t>
    </r>
    <r>
      <rPr>
        <sz val="11"/>
        <color theme="0"/>
        <rFont val="Calibri"/>
        <family val="2"/>
      </rPr>
      <t>÷</t>
    </r>
  </si>
  <si>
    <t xml:space="preserve">SEMANA </t>
  </si>
  <si>
    <t>X MESES</t>
  </si>
  <si>
    <r>
      <rPr>
        <b/>
        <sz val="11"/>
        <color theme="0"/>
        <rFont val="Calibri"/>
        <family val="2"/>
      </rPr>
      <t>÷</t>
    </r>
    <r>
      <rPr>
        <b/>
        <sz val="11"/>
        <color theme="0"/>
        <rFont val="Calibri"/>
        <family val="2"/>
        <scheme val="minor"/>
      </rPr>
      <t>HORAS LABORALES</t>
    </r>
  </si>
  <si>
    <t>CALCULAR LA RATA POR HORA CUANDO SE SABE EL SALARIO MENSUAL - Forma 1</t>
  </si>
  <si>
    <r>
      <rPr>
        <b/>
        <sz val="11"/>
        <color theme="0"/>
        <rFont val="Calibri"/>
        <family val="2"/>
      </rPr>
      <t>÷</t>
    </r>
    <r>
      <rPr>
        <b/>
        <sz val="11"/>
        <color theme="0"/>
        <rFont val="Calibri"/>
        <family val="2"/>
        <scheme val="minor"/>
      </rPr>
      <t>SEMANAS</t>
    </r>
  </si>
  <si>
    <t>CONTABILIDAD GENERAL</t>
  </si>
  <si>
    <t>RENTA NETA GRAVABLE</t>
  </si>
  <si>
    <t>% sobre el excedente</t>
  </si>
  <si>
    <t>Tramo</t>
  </si>
  <si>
    <t xml:space="preserve">Acumulado </t>
  </si>
  <si>
    <t>Desde</t>
  </si>
  <si>
    <t>Hasta</t>
  </si>
  <si>
    <t>Impuesto Causado</t>
  </si>
  <si>
    <t xml:space="preserve">y más </t>
  </si>
  <si>
    <t>Salario Anual (B/. 1,200.00 x 12)</t>
  </si>
  <si>
    <t>Décimo tercer mes (1a.,2a,3a. Partida)</t>
  </si>
  <si>
    <t>Rentra Bruta</t>
  </si>
  <si>
    <t xml:space="preserve">          Básica (Grupo E)</t>
  </si>
  <si>
    <t xml:space="preserve">          Total de Deducciones</t>
  </si>
  <si>
    <t xml:space="preserve">Renta Neta Gravable </t>
  </si>
  <si>
    <t>Ejemplo: B/. 1,200.00 mensuales, declara con su cónyuge y tiene 3 hijos.</t>
  </si>
  <si>
    <t>Menos Deducciones:</t>
  </si>
  <si>
    <t>Renta Neta Gravable</t>
  </si>
  <si>
    <t>Porcentaje</t>
  </si>
  <si>
    <t>Total</t>
  </si>
  <si>
    <t xml:space="preserve">Para Calcular La Renta Neta Gravable </t>
  </si>
  <si>
    <t>PARA CALCULAR EL IMPUESTO SOBRE LA RENTA ANUAL</t>
  </si>
  <si>
    <t>DETERMINACIÓN DE LA RENTA GRAVABLE</t>
  </si>
  <si>
    <t>IMPUESTO SOBRE LA RENTA</t>
  </si>
  <si>
    <t>Impuesto Anual</t>
  </si>
  <si>
    <t>Entre Meses</t>
  </si>
  <si>
    <t>Impuesto Mensual</t>
  </si>
  <si>
    <t>PARA CALCULAR EL IMPUESTO SOBRE LA RENTA MENSUAL</t>
  </si>
  <si>
    <t>PARA CALCULAR EL IMPUESTO SOBRE LA RENTA QUINCENAL</t>
  </si>
  <si>
    <t>PRESTACIONES SOCIALES</t>
  </si>
  <si>
    <t>IS/R - Impuesto sobre la Renta</t>
  </si>
  <si>
    <t>Otras Deducciones (pensiones Alimenticias, Hipotecas, Préstamos Personales)</t>
  </si>
  <si>
    <t>PRESTACIONES - OBRERO MENSUAL</t>
  </si>
  <si>
    <t>PRESTACIONES - OBRERO QUINCENAL</t>
  </si>
  <si>
    <t>TOTAL</t>
  </si>
  <si>
    <t>Impuesto Quincenal</t>
  </si>
  <si>
    <t>COLABORADORES</t>
  </si>
  <si>
    <t>Ruth Diaz</t>
  </si>
  <si>
    <t xml:space="preserve">Maria Moreno </t>
  </si>
  <si>
    <t>Cris Torres</t>
  </si>
  <si>
    <t>Américo Garcia</t>
  </si>
  <si>
    <t>Efraín Méndez</t>
  </si>
  <si>
    <t>Lucila Godoy</t>
  </si>
  <si>
    <t>Frank Martínez</t>
  </si>
  <si>
    <t>Kevin González</t>
  </si>
  <si>
    <t>Blanca Jiménez</t>
  </si>
  <si>
    <t>Beatriz  Bernalcazar</t>
  </si>
  <si>
    <t>PRESTACIONES - PATRONO MENSUAL</t>
  </si>
  <si>
    <t xml:space="preserve">SALARIO MENSUAL </t>
  </si>
  <si>
    <t xml:space="preserve">TOTAL DE SALARIOS </t>
  </si>
  <si>
    <t>I PARTIDA - 1a quincena de Abril</t>
  </si>
  <si>
    <t>2a. Dic.</t>
  </si>
  <si>
    <t>Enero</t>
  </si>
  <si>
    <t>1a. Quinc.</t>
  </si>
  <si>
    <t>2a. Quinc.</t>
  </si>
  <si>
    <t>Febrero</t>
  </si>
  <si>
    <t>Marzo</t>
  </si>
  <si>
    <t xml:space="preserve">1 a. Abril </t>
  </si>
  <si>
    <t>II PARTIDA - 1a quincena de Agosto</t>
  </si>
  <si>
    <t xml:space="preserve">2a. Abril </t>
  </si>
  <si>
    <t>Mayo</t>
  </si>
  <si>
    <t>Junio</t>
  </si>
  <si>
    <t>Julio</t>
  </si>
  <si>
    <t xml:space="preserve">1 a. Agosto </t>
  </si>
  <si>
    <t>III PARTIDA - 1a quincena de Diciembre</t>
  </si>
  <si>
    <t xml:space="preserve">2a. Agosto </t>
  </si>
  <si>
    <t>Septiembre</t>
  </si>
  <si>
    <t>Octubre</t>
  </si>
  <si>
    <t>Noviembre</t>
  </si>
  <si>
    <t>1a.Diciembre</t>
  </si>
  <si>
    <t xml:space="preserve">FECHAS DE PAGOS DEL XIII MES </t>
  </si>
  <si>
    <t>Meses</t>
  </si>
  <si>
    <t>Total Bruto del XIII - Abril</t>
  </si>
  <si>
    <t xml:space="preserve">No se paga Seguro Educativo </t>
  </si>
  <si>
    <t>Total XIII a recibir</t>
  </si>
  <si>
    <t>Seguro Social (S.S.)</t>
  </si>
  <si>
    <t xml:space="preserve">CÁLCULO XIII MES </t>
  </si>
  <si>
    <t>Total Bruto del XIII - Agosto</t>
  </si>
  <si>
    <t>Horas Extras</t>
  </si>
  <si>
    <t>PARA CALCULAR EL XIII MES (1a. 2a. Y 3a. Partida)</t>
  </si>
  <si>
    <t>VACACIONES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</si>
  <si>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</si>
  <si>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</si>
  <si>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</si>
  <si>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</si>
  <si>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</si>
  <si>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</si>
  <si>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</si>
  <si>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</si>
  <si>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</si>
  <si>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</si>
  <si>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</si>
  <si>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</si>
  <si>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CÁLCULO PARA VACACIONES</t>
  </si>
  <si>
    <t>Total de Vacaciones</t>
  </si>
  <si>
    <t>No.</t>
  </si>
  <si>
    <t>Salario Mensual</t>
  </si>
  <si>
    <t>Total Salario</t>
  </si>
  <si>
    <t>EMPRESAS RODRÍGUEZ , S.A.</t>
  </si>
  <si>
    <t>PLANILLA  QUINCENA</t>
  </si>
  <si>
    <t>No. De Código</t>
  </si>
  <si>
    <t>NOMBRE Y APELLIDOS</t>
  </si>
  <si>
    <t xml:space="preserve">Cédula </t>
  </si>
  <si>
    <t>CLAVE IS/R</t>
  </si>
  <si>
    <t>SALARIO QUINCENAL</t>
  </si>
  <si>
    <t>IS/R</t>
  </si>
  <si>
    <t>Total de Deducciones</t>
  </si>
  <si>
    <t>SALARIO NETO</t>
  </si>
  <si>
    <t>Reservas</t>
  </si>
  <si>
    <t>Vacaciones</t>
  </si>
  <si>
    <t>XIII Mes</t>
  </si>
  <si>
    <t>Prima de Antigüedad</t>
  </si>
  <si>
    <t>Total de Reservas</t>
  </si>
  <si>
    <t>Cuotas C.S.S.</t>
  </si>
  <si>
    <t>Patronal</t>
  </si>
  <si>
    <t>Obrero</t>
  </si>
  <si>
    <t>Seguro Social</t>
  </si>
  <si>
    <t>Seguro Educativo</t>
  </si>
  <si>
    <t>Total de Cuotas C.S.S.</t>
  </si>
  <si>
    <t>HORAS EXTRAS</t>
  </si>
  <si>
    <t>TOTAL       SALARIO BRUTO</t>
  </si>
  <si>
    <t>S.S. (9.75%)</t>
  </si>
  <si>
    <t>S.E. (1.25%)</t>
  </si>
  <si>
    <t>OTRAS DEDUCCIONES (Hipoteca, Pensión Alimenticia) (30%)</t>
  </si>
  <si>
    <t>OTRAS DEDUCCIONES (Préstamos Personales, Tarjetas Crédito, Auto) (20%)</t>
  </si>
  <si>
    <t>TOTAL DE DEDUCCIONES</t>
  </si>
  <si>
    <t>OBSERVACIONES</t>
  </si>
  <si>
    <t>Vacaciones del 01 al 30 de julio</t>
  </si>
  <si>
    <t>Licencia sin sueldo</t>
  </si>
  <si>
    <t>Licencia por maternidad</t>
  </si>
  <si>
    <t xml:space="preserve">TOTAL </t>
  </si>
  <si>
    <t>XIII MES</t>
  </si>
  <si>
    <t>S.S. - XIII</t>
  </si>
  <si>
    <t xml:space="preserve">TOTAL XIII </t>
  </si>
  <si>
    <t xml:space="preserve">Vacaciones del 01 al 30 </t>
  </si>
  <si>
    <t>Indemnización</t>
  </si>
  <si>
    <t>CALCULAR EL SALARIO MENSUAL</t>
  </si>
  <si>
    <t>Rata por hora y Los dias laborables + datos de almuerzo</t>
  </si>
  <si>
    <t>Total de Deducciones (S.S. Y S.E.)</t>
  </si>
  <si>
    <t>Salario Neto Mensual a recibir</t>
  </si>
  <si>
    <t>Total de Deducciones a pagar</t>
  </si>
  <si>
    <t>PRESTACIONES - PATRONO QUINCENAL</t>
  </si>
  <si>
    <t>Abril</t>
  </si>
  <si>
    <t>Dic. (año anterior)</t>
  </si>
  <si>
    <t>Agosto</t>
  </si>
  <si>
    <t xml:space="preserve">Agosto </t>
  </si>
  <si>
    <t>Diciembre</t>
  </si>
  <si>
    <t>XIII MES - PROPORCIONAL A RECIBIR DURANTE EL AÑO</t>
  </si>
  <si>
    <t>CÁLCULO PARA VACACIONES CON HORA EXTRAS</t>
  </si>
  <si>
    <t>DEL 01 AL 15 DE JULIO DE 2026</t>
  </si>
  <si>
    <t>Hotel Playa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</si>
</sst>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B/.&quot;\ * #,##0.00_);_(&quot;B/.&quot;\ * \(#,##0.00\);_(&quot;B/.&quot;\ * &quot;-&quot;??_);_(@_)"/>
    <numFmt numFmtId="165" formatCode="&quot;B/.&quot;\ #,##0.00"/>
    <numFmt numFmtId="166" formatCode="_ * #,##0.00_ ;_ * \-#,##0.00_ ;_ * &quot;-&quot;??_ ;_ @_ "/>
    <numFmt numFmtId="167" formatCode="0.000%"/>
  </numFmts>
  <fonts count="3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Arial Black"/>
      <family val="2"/>
    </font>
    <font>
      <sz val="11"/>
      <color theme="0"/>
      <name val="Arial Rounded MT Bold"/>
      <family val="2"/>
    </font>
    <font>
      <sz val="10"/>
      <color theme="0"/>
      <name val="Arial Rounded MT Bold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name val="Segoe UI"/>
      <family val="2"/>
    </font>
    <font>
      <sz val="8"/>
      <name val="Arial"/>
      <family val="2"/>
    </font>
    <font>
      <b/>
      <sz val="9"/>
      <color rgb="FFFF0000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u/>
      <sz val="8"/>
      <color indexed="81"/>
      <name val="Tahoma"/>
      <family val="2"/>
    </font>
    <font>
      <b/>
      <sz val="14"/>
      <color rgb="FF00B0F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0" fontId="23" fillId="0" borderId="0"/>
    <xf numFmtId="166" fontId="23" fillId="0" borderId="0" applyFont="0" applyFill="0" applyBorder="0" applyAlignment="0" applyProtection="0"/>
  </cellStyleXfs>
  <cellXfs count="46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2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3" fillId="0" borderId="0" xfId="0" applyFont="1"/>
    <xf numFmtId="0" fontId="6" fillId="3" borderId="1" xfId="0" applyFont="1" applyFill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2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" fillId="3" borderId="7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1" fillId="0" borderId="0" xfId="0" applyFont="1"/>
    <xf numFmtId="4" fontId="12" fillId="0" borderId="0" xfId="0" applyNumberFormat="1" applyFont="1"/>
    <xf numFmtId="0" fontId="11" fillId="0" borderId="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4" fontId="12" fillId="0" borderId="1" xfId="0" applyNumberFormat="1" applyFont="1" applyBorder="1" applyAlignment="1">
      <alignment horizontal="right"/>
    </xf>
    <xf numFmtId="4" fontId="12" fillId="0" borderId="1" xfId="0" applyNumberFormat="1" applyFont="1" applyBorder="1"/>
    <xf numFmtId="9" fontId="12" fillId="0" borderId="1" xfId="1" applyFont="1" applyBorder="1" applyAlignment="1">
      <alignment horizontal="center"/>
    </xf>
    <xf numFmtId="0" fontId="11" fillId="0" borderId="0" xfId="0" applyFont="1" applyAlignment="1">
      <alignment horizontal="center"/>
    </xf>
    <xf numFmtId="4" fontId="12" fillId="0" borderId="9" xfId="0" applyNumberFormat="1" applyFont="1" applyBorder="1" applyAlignment="1">
      <alignment horizontal="right"/>
    </xf>
    <xf numFmtId="4" fontId="12" fillId="0" borderId="10" xfId="0" applyNumberFormat="1" applyFont="1" applyBorder="1" applyAlignment="1">
      <alignment horizontal="right"/>
    </xf>
    <xf numFmtId="4" fontId="12" fillId="0" borderId="9" xfId="0" applyNumberFormat="1" applyFont="1" applyBorder="1"/>
    <xf numFmtId="4" fontId="12" fillId="0" borderId="9" xfId="0" applyNumberFormat="1" applyFont="1" applyBorder="1" applyAlignment="1">
      <alignment horizontal="center"/>
    </xf>
    <xf numFmtId="4" fontId="12" fillId="0" borderId="10" xfId="0" applyNumberFormat="1" applyFont="1" applyBorder="1"/>
    <xf numFmtId="9" fontId="12" fillId="0" borderId="9" xfId="1" applyFont="1" applyBorder="1" applyAlignment="1">
      <alignment horizontal="center"/>
    </xf>
    <xf numFmtId="9" fontId="12" fillId="0" borderId="10" xfId="1" applyFont="1" applyBorder="1" applyAlignment="1">
      <alignment horizontal="center"/>
    </xf>
    <xf numFmtId="4" fontId="11" fillId="0" borderId="0" xfId="0" applyNumberFormat="1" applyFont="1"/>
    <xf numFmtId="4" fontId="12" fillId="0" borderId="36" xfId="0" applyNumberFormat="1" applyFont="1" applyBorder="1"/>
    <xf numFmtId="2" fontId="12" fillId="0" borderId="36" xfId="0" applyNumberFormat="1" applyFont="1" applyBorder="1"/>
    <xf numFmtId="0" fontId="12" fillId="0" borderId="1" xfId="0" applyFont="1" applyBorder="1"/>
    <xf numFmtId="0" fontId="11" fillId="0" borderId="1" xfId="0" applyFont="1" applyBorder="1"/>
    <xf numFmtId="4" fontId="12" fillId="0" borderId="1" xfId="0" applyNumberFormat="1" applyFont="1" applyBorder="1" applyAlignment="1">
      <alignment horizontal="center" vertical="center"/>
    </xf>
    <xf numFmtId="4" fontId="11" fillId="0" borderId="1" xfId="0" applyNumberFormat="1" applyFont="1" applyBorder="1"/>
    <xf numFmtId="4" fontId="11" fillId="0" borderId="41" xfId="0" applyNumberFormat="1" applyFont="1" applyBorder="1"/>
    <xf numFmtId="4" fontId="11" fillId="0" borderId="35" xfId="0" applyNumberFormat="1" applyFont="1" applyBorder="1"/>
    <xf numFmtId="0" fontId="12" fillId="0" borderId="41" xfId="0" applyFont="1" applyBorder="1"/>
    <xf numFmtId="0" fontId="12" fillId="0" borderId="35" xfId="0" applyFont="1" applyBorder="1"/>
    <xf numFmtId="0" fontId="13" fillId="0" borderId="41" xfId="0" applyFont="1" applyBorder="1"/>
    <xf numFmtId="2" fontId="12" fillId="0" borderId="0" xfId="0" applyNumberFormat="1" applyFont="1"/>
    <xf numFmtId="0" fontId="12" fillId="0" borderId="40" xfId="0" applyFont="1" applyBorder="1"/>
    <xf numFmtId="0" fontId="12" fillId="0" borderId="37" xfId="0" applyFont="1" applyBorder="1"/>
    <xf numFmtId="0" fontId="12" fillId="0" borderId="30" xfId="0" applyFont="1" applyBorder="1"/>
    <xf numFmtId="0" fontId="11" fillId="4" borderId="11" xfId="0" applyFont="1" applyFill="1" applyBorder="1"/>
    <xf numFmtId="0" fontId="11" fillId="4" borderId="12" xfId="0" applyFont="1" applyFill="1" applyBorder="1"/>
    <xf numFmtId="0" fontId="11" fillId="4" borderId="13" xfId="0" applyFont="1" applyFill="1" applyBorder="1"/>
    <xf numFmtId="0" fontId="14" fillId="8" borderId="11" xfId="0" applyFont="1" applyFill="1" applyBorder="1"/>
    <xf numFmtId="0" fontId="14" fillId="8" borderId="12" xfId="0" applyFont="1" applyFill="1" applyBorder="1"/>
    <xf numFmtId="0" fontId="14" fillId="8" borderId="13" xfId="0" applyFont="1" applyFill="1" applyBorder="1"/>
    <xf numFmtId="0" fontId="12" fillId="0" borderId="1" xfId="0" applyFont="1" applyBorder="1" applyAlignment="1">
      <alignment horizontal="center"/>
    </xf>
    <xf numFmtId="0" fontId="14" fillId="9" borderId="11" xfId="0" applyFont="1" applyFill="1" applyBorder="1"/>
    <xf numFmtId="0" fontId="14" fillId="9" borderId="12" xfId="0" applyFont="1" applyFill="1" applyBorder="1"/>
    <xf numFmtId="0" fontId="14" fillId="9" borderId="12" xfId="0" applyFont="1" applyFill="1" applyBorder="1" applyAlignment="1">
      <alignment horizontal="center"/>
    </xf>
    <xf numFmtId="0" fontId="14" fillId="9" borderId="13" xfId="0" applyFont="1" applyFill="1" applyBorder="1"/>
    <xf numFmtId="0" fontId="11" fillId="0" borderId="6" xfId="0" applyFont="1" applyBorder="1" applyAlignment="1">
      <alignment horizontal="center"/>
    </xf>
    <xf numFmtId="10" fontId="12" fillId="0" borderId="1" xfId="0" applyNumberFormat="1" applyFont="1" applyBorder="1" applyAlignment="1">
      <alignment horizontal="center"/>
    </xf>
    <xf numFmtId="0" fontId="11" fillId="0" borderId="42" xfId="0" applyFont="1" applyBorder="1"/>
    <xf numFmtId="0" fontId="12" fillId="0" borderId="44" xfId="0" applyFont="1" applyBorder="1"/>
    <xf numFmtId="10" fontId="12" fillId="0" borderId="45" xfId="0" applyNumberFormat="1" applyFont="1" applyBorder="1" applyAlignment="1">
      <alignment horizontal="center"/>
    </xf>
    <xf numFmtId="0" fontId="12" fillId="0" borderId="44" xfId="0" applyFont="1" applyBorder="1" applyAlignment="1">
      <alignment horizontal="left" wrapText="1"/>
    </xf>
    <xf numFmtId="0" fontId="12" fillId="0" borderId="22" xfId="0" applyFont="1" applyBorder="1"/>
    <xf numFmtId="0" fontId="12" fillId="0" borderId="0" xfId="0" applyFont="1" applyAlignment="1">
      <alignment horizontal="left" wrapText="1"/>
    </xf>
    <xf numFmtId="4" fontId="11" fillId="0" borderId="8" xfId="0" applyNumberFormat="1" applyFont="1" applyBorder="1"/>
    <xf numFmtId="0" fontId="12" fillId="0" borderId="9" xfId="0" applyFont="1" applyBorder="1"/>
    <xf numFmtId="164" fontId="12" fillId="0" borderId="1" xfId="0" applyNumberFormat="1" applyFont="1" applyBorder="1"/>
    <xf numFmtId="0" fontId="12" fillId="0" borderId="31" xfId="0" applyFont="1" applyBorder="1" applyAlignment="1">
      <alignment horizontal="left" wrapText="1"/>
    </xf>
    <xf numFmtId="0" fontId="12" fillId="0" borderId="5" xfId="0" applyFont="1" applyBorder="1"/>
    <xf numFmtId="2" fontId="12" fillId="0" borderId="5" xfId="0" applyNumberFormat="1" applyFont="1" applyBorder="1"/>
    <xf numFmtId="164" fontId="11" fillId="12" borderId="1" xfId="0" applyNumberFormat="1" applyFont="1" applyFill="1" applyBorder="1"/>
    <xf numFmtId="4" fontId="11" fillId="0" borderId="14" xfId="0" applyNumberFormat="1" applyFont="1" applyBorder="1"/>
    <xf numFmtId="0" fontId="11" fillId="0" borderId="6" xfId="0" applyFont="1" applyBorder="1"/>
    <xf numFmtId="0" fontId="12" fillId="0" borderId="6" xfId="0" applyFont="1" applyBorder="1"/>
    <xf numFmtId="0" fontId="12" fillId="6" borderId="1" xfId="0" applyFont="1" applyFill="1" applyBorder="1"/>
    <xf numFmtId="164" fontId="12" fillId="0" borderId="0" xfId="0" applyNumberFormat="1" applyFont="1"/>
    <xf numFmtId="0" fontId="16" fillId="0" borderId="1" xfId="0" applyFont="1" applyBorder="1"/>
    <xf numFmtId="10" fontId="12" fillId="0" borderId="1" xfId="0" applyNumberFormat="1" applyFont="1" applyBorder="1"/>
    <xf numFmtId="0" fontId="11" fillId="0" borderId="32" xfId="0" applyFont="1" applyBorder="1"/>
    <xf numFmtId="0" fontId="11" fillId="0" borderId="7" xfId="0" applyFont="1" applyBorder="1"/>
    <xf numFmtId="0" fontId="11" fillId="0" borderId="13" xfId="0" applyFont="1" applyBorder="1"/>
    <xf numFmtId="164" fontId="11" fillId="15" borderId="1" xfId="0" applyNumberFormat="1" applyFont="1" applyFill="1" applyBorder="1"/>
    <xf numFmtId="0" fontId="11" fillId="0" borderId="11" xfId="0" applyFont="1" applyBorder="1"/>
    <xf numFmtId="164" fontId="11" fillId="16" borderId="1" xfId="0" applyNumberFormat="1" applyFont="1" applyFill="1" applyBorder="1"/>
    <xf numFmtId="0" fontId="11" fillId="0" borderId="5" xfId="0" applyFont="1" applyBorder="1"/>
    <xf numFmtId="0" fontId="12" fillId="6" borderId="5" xfId="0" applyFont="1" applyFill="1" applyBorder="1"/>
    <xf numFmtId="164" fontId="12" fillId="0" borderId="5" xfId="0" applyNumberFormat="1" applyFont="1" applyBorder="1"/>
    <xf numFmtId="0" fontId="11" fillId="12" borderId="20" xfId="0" applyFont="1" applyFill="1" applyBorder="1" applyAlignment="1">
      <alignment horizontal="center"/>
    </xf>
    <xf numFmtId="0" fontId="11" fillId="12" borderId="23" xfId="0" applyFont="1" applyFill="1" applyBorder="1" applyAlignment="1">
      <alignment horizontal="center"/>
    </xf>
    <xf numFmtId="0" fontId="11" fillId="15" borderId="2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11" fillId="16" borderId="20" xfId="0" applyFont="1" applyFill="1" applyBorder="1" applyAlignment="1">
      <alignment horizontal="center"/>
    </xf>
    <xf numFmtId="0" fontId="11" fillId="16" borderId="23" xfId="0" applyFont="1" applyFill="1" applyBorder="1" applyAlignment="1">
      <alignment horizontal="center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/>
    </xf>
    <xf numFmtId="2" fontId="12" fillId="0" borderId="1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21" fillId="0" borderId="0" xfId="0" applyFont="1"/>
    <xf numFmtId="164" fontId="14" fillId="9" borderId="6" xfId="0" applyNumberFormat="1" applyFont="1" applyFill="1" applyBorder="1"/>
    <xf numFmtId="164" fontId="18" fillId="13" borderId="6" xfId="0" applyNumberFormat="1" applyFont="1" applyFill="1" applyBorder="1"/>
    <xf numFmtId="164" fontId="20" fillId="14" borderId="6" xfId="0" applyNumberFormat="1" applyFont="1" applyFill="1" applyBorder="1"/>
    <xf numFmtId="0" fontId="11" fillId="18" borderId="20" xfId="0" applyFont="1" applyFill="1" applyBorder="1" applyAlignment="1">
      <alignment horizontal="center"/>
    </xf>
    <xf numFmtId="0" fontId="11" fillId="18" borderId="23" xfId="0" applyFont="1" applyFill="1" applyBorder="1" applyAlignment="1">
      <alignment horizontal="center"/>
    </xf>
    <xf numFmtId="0" fontId="11" fillId="19" borderId="20" xfId="0" applyFont="1" applyFill="1" applyBorder="1" applyAlignment="1">
      <alignment horizontal="center"/>
    </xf>
    <xf numFmtId="0" fontId="11" fillId="19" borderId="23" xfId="0" applyFont="1" applyFill="1" applyBorder="1" applyAlignment="1">
      <alignment horizontal="center"/>
    </xf>
    <xf numFmtId="0" fontId="11" fillId="20" borderId="20" xfId="0" applyFont="1" applyFill="1" applyBorder="1" applyAlignment="1">
      <alignment horizontal="center"/>
    </xf>
    <xf numFmtId="0" fontId="11" fillId="20" borderId="23" xfId="0" applyFont="1" applyFill="1" applyBorder="1" applyAlignment="1">
      <alignment horizontal="center"/>
    </xf>
    <xf numFmtId="164" fontId="12" fillId="20" borderId="28" xfId="0" applyNumberFormat="1" applyFont="1" applyFill="1" applyBorder="1"/>
    <xf numFmtId="164" fontId="12" fillId="18" borderId="28" xfId="0" applyNumberFormat="1" applyFont="1" applyFill="1" applyBorder="1"/>
    <xf numFmtId="164" fontId="12" fillId="19" borderId="28" xfId="0" applyNumberFormat="1" applyFont="1" applyFill="1" applyBorder="1"/>
    <xf numFmtId="0" fontId="17" fillId="0" borderId="5" xfId="0" applyFont="1" applyBorder="1" applyAlignment="1">
      <alignment vertical="center"/>
    </xf>
    <xf numFmtId="164" fontId="11" fillId="19" borderId="28" xfId="0" applyNumberFormat="1" applyFont="1" applyFill="1" applyBorder="1"/>
    <xf numFmtId="164" fontId="11" fillId="11" borderId="13" xfId="0" applyNumberFormat="1" applyFont="1" applyFill="1" applyBorder="1"/>
    <xf numFmtId="164" fontId="11" fillId="20" borderId="13" xfId="0" applyNumberFormat="1" applyFont="1" applyFill="1" applyBorder="1"/>
    <xf numFmtId="164" fontId="11" fillId="12" borderId="26" xfId="0" applyNumberFormat="1" applyFont="1" applyFill="1" applyBorder="1"/>
    <xf numFmtId="164" fontId="11" fillId="12" borderId="27" xfId="0" applyNumberFormat="1" applyFont="1" applyFill="1" applyBorder="1"/>
    <xf numFmtId="164" fontId="11" fillId="12" borderId="28" xfId="0" applyNumberFormat="1" applyFont="1" applyFill="1" applyBorder="1"/>
    <xf numFmtId="164" fontId="11" fillId="15" borderId="26" xfId="0" applyNumberFormat="1" applyFont="1" applyFill="1" applyBorder="1"/>
    <xf numFmtId="164" fontId="11" fillId="15" borderId="27" xfId="0" applyNumberFormat="1" applyFont="1" applyFill="1" applyBorder="1"/>
    <xf numFmtId="164" fontId="11" fillId="15" borderId="28" xfId="0" applyNumberFormat="1" applyFont="1" applyFill="1" applyBorder="1"/>
    <xf numFmtId="164" fontId="11" fillId="16" borderId="26" xfId="0" applyNumberFormat="1" applyFont="1" applyFill="1" applyBorder="1"/>
    <xf numFmtId="164" fontId="11" fillId="16" borderId="27" xfId="0" applyNumberFormat="1" applyFont="1" applyFill="1" applyBorder="1"/>
    <xf numFmtId="164" fontId="11" fillId="16" borderId="28" xfId="0" applyNumberFormat="1" applyFont="1" applyFill="1" applyBorder="1"/>
    <xf numFmtId="0" fontId="12" fillId="0" borderId="1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5" xfId="0" applyFont="1" applyBorder="1" applyAlignment="1">
      <alignment horizontal="center"/>
    </xf>
    <xf numFmtId="4" fontId="12" fillId="0" borderId="6" xfId="0" applyNumberFormat="1" applyFont="1" applyBorder="1"/>
    <xf numFmtId="10" fontId="12" fillId="0" borderId="1" xfId="0" applyNumberFormat="1" applyFont="1" applyBorder="1" applyAlignment="1">
      <alignment horizontal="left"/>
    </xf>
    <xf numFmtId="164" fontId="11" fillId="0" borderId="24" xfId="0" applyNumberFormat="1" applyFont="1" applyBorder="1"/>
    <xf numFmtId="164" fontId="12" fillId="0" borderId="45" xfId="0" applyNumberFormat="1" applyFont="1" applyBorder="1"/>
    <xf numFmtId="164" fontId="12" fillId="0" borderId="45" xfId="0" applyNumberFormat="1" applyFont="1" applyBorder="1" applyAlignment="1">
      <alignment horizontal="left"/>
    </xf>
    <xf numFmtId="0" fontId="12" fillId="0" borderId="5" xfId="0" applyFont="1" applyBorder="1" applyAlignment="1">
      <alignment horizontal="left" wrapText="1"/>
    </xf>
    <xf numFmtId="164" fontId="12" fillId="0" borderId="52" xfId="0" applyNumberFormat="1" applyFont="1" applyBorder="1" applyAlignment="1">
      <alignment horizontal="left" vertical="center"/>
    </xf>
    <xf numFmtId="0" fontId="12" fillId="22" borderId="27" xfId="0" applyFont="1" applyFill="1" applyBorder="1"/>
    <xf numFmtId="164" fontId="11" fillId="22" borderId="28" xfId="0" applyNumberFormat="1" applyFont="1" applyFill="1" applyBorder="1"/>
    <xf numFmtId="4" fontId="12" fillId="0" borderId="2" xfId="0" applyNumberFormat="1" applyFont="1" applyBorder="1"/>
    <xf numFmtId="0" fontId="11" fillId="0" borderId="20" xfId="0" applyFont="1" applyBorder="1" applyAlignment="1">
      <alignment horizontal="center"/>
    </xf>
    <xf numFmtId="0" fontId="11" fillId="0" borderId="55" xfId="0" applyFont="1" applyBorder="1" applyAlignment="1">
      <alignment horizontal="center"/>
    </xf>
    <xf numFmtId="10" fontId="12" fillId="0" borderId="3" xfId="0" applyNumberFormat="1" applyFont="1" applyBorder="1" applyAlignment="1">
      <alignment horizontal="left"/>
    </xf>
    <xf numFmtId="0" fontId="12" fillId="0" borderId="56" xfId="0" applyFont="1" applyBorder="1" applyAlignment="1">
      <alignment horizontal="left" wrapText="1"/>
    </xf>
    <xf numFmtId="0" fontId="12" fillId="22" borderId="57" xfId="0" applyFont="1" applyFill="1" applyBorder="1"/>
    <xf numFmtId="0" fontId="23" fillId="0" borderId="0" xfId="2"/>
    <xf numFmtId="0" fontId="26" fillId="21" borderId="7" xfId="2" applyFont="1" applyFill="1" applyBorder="1" applyAlignment="1">
      <alignment horizontal="center" vertical="center" wrapText="1"/>
    </xf>
    <xf numFmtId="0" fontId="26" fillId="21" borderId="7" xfId="2" applyFont="1" applyFill="1" applyBorder="1" applyAlignment="1">
      <alignment horizontal="center" vertical="center"/>
    </xf>
    <xf numFmtId="0" fontId="27" fillId="21" borderId="12" xfId="2" applyFont="1" applyFill="1" applyBorder="1" applyAlignment="1">
      <alignment horizontal="center" vertical="center" wrapText="1"/>
    </xf>
    <xf numFmtId="0" fontId="26" fillId="21" borderId="13" xfId="2" applyFont="1" applyFill="1" applyBorder="1" applyAlignment="1">
      <alignment horizontal="center" vertical="center"/>
    </xf>
    <xf numFmtId="0" fontId="28" fillId="0" borderId="42" xfId="2" applyFont="1" applyBorder="1" applyAlignment="1">
      <alignment horizontal="center"/>
    </xf>
    <xf numFmtId="0" fontId="29" fillId="0" borderId="6" xfId="2" applyFont="1" applyBorder="1"/>
    <xf numFmtId="0" fontId="30" fillId="0" borderId="6" xfId="2" applyFont="1" applyBorder="1" applyAlignment="1">
      <alignment horizontal="center"/>
    </xf>
    <xf numFmtId="4" fontId="29" fillId="0" borderId="6" xfId="2" applyNumberFormat="1" applyFont="1" applyBorder="1" applyAlignment="1">
      <alignment horizontal="center"/>
    </xf>
    <xf numFmtId="4" fontId="29" fillId="0" borderId="6" xfId="2" applyNumberFormat="1" applyFont="1" applyBorder="1"/>
    <xf numFmtId="0" fontId="28" fillId="0" borderId="43" xfId="2" applyFont="1" applyBorder="1"/>
    <xf numFmtId="0" fontId="28" fillId="0" borderId="44" xfId="2" applyFont="1" applyBorder="1" applyAlignment="1">
      <alignment horizontal="center"/>
    </xf>
    <xf numFmtId="0" fontId="29" fillId="0" borderId="1" xfId="2" applyFont="1" applyBorder="1"/>
    <xf numFmtId="0" fontId="30" fillId="0" borderId="1" xfId="2" applyFont="1" applyBorder="1" applyAlignment="1">
      <alignment horizontal="center"/>
    </xf>
    <xf numFmtId="4" fontId="29" fillId="0" borderId="1" xfId="2" applyNumberFormat="1" applyFont="1" applyBorder="1" applyAlignment="1">
      <alignment horizontal="center"/>
    </xf>
    <xf numFmtId="4" fontId="29" fillId="0" borderId="1" xfId="2" applyNumberFormat="1" applyFont="1" applyBorder="1"/>
    <xf numFmtId="0" fontId="28" fillId="0" borderId="45" xfId="2" applyFont="1" applyBorder="1"/>
    <xf numFmtId="0" fontId="31" fillId="0" borderId="52" xfId="0" applyFont="1" applyBorder="1"/>
    <xf numFmtId="0" fontId="32" fillId="0" borderId="1" xfId="2" applyFont="1" applyBorder="1"/>
    <xf numFmtId="0" fontId="29" fillId="0" borderId="1" xfId="0" applyFont="1" applyBorder="1"/>
    <xf numFmtId="0" fontId="33" fillId="0" borderId="1" xfId="0" applyFont="1" applyBorder="1" applyAlignment="1">
      <alignment horizontal="center" vertical="center"/>
    </xf>
    <xf numFmtId="0" fontId="31" fillId="0" borderId="45" xfId="0" applyFont="1" applyBorder="1"/>
    <xf numFmtId="0" fontId="34" fillId="0" borderId="0" xfId="0" applyFont="1"/>
    <xf numFmtId="0" fontId="29" fillId="0" borderId="0" xfId="0" applyFont="1"/>
    <xf numFmtId="0" fontId="23" fillId="0" borderId="41" xfId="2" applyBorder="1"/>
    <xf numFmtId="0" fontId="35" fillId="0" borderId="0" xfId="2" applyFont="1"/>
    <xf numFmtId="166" fontId="10" fillId="0" borderId="0" xfId="3" applyFont="1"/>
    <xf numFmtId="0" fontId="23" fillId="0" borderId="0" xfId="2" applyAlignment="1">
      <alignment horizontal="center"/>
    </xf>
    <xf numFmtId="4" fontId="23" fillId="0" borderId="0" xfId="2" applyNumberFormat="1"/>
    <xf numFmtId="0" fontId="35" fillId="0" borderId="35" xfId="2" applyFont="1" applyBorder="1"/>
    <xf numFmtId="0" fontId="23" fillId="0" borderId="1" xfId="2" applyBorder="1"/>
    <xf numFmtId="166" fontId="10" fillId="0" borderId="1" xfId="3" applyFont="1" applyBorder="1"/>
    <xf numFmtId="0" fontId="35" fillId="0" borderId="1" xfId="2" applyFont="1" applyBorder="1"/>
    <xf numFmtId="166" fontId="35" fillId="0" borderId="1" xfId="3" applyFont="1" applyBorder="1"/>
    <xf numFmtId="166" fontId="35" fillId="0" borderId="0" xfId="3" applyFont="1" applyAlignment="1">
      <alignment horizontal="center"/>
    </xf>
    <xf numFmtId="166" fontId="10" fillId="0" borderId="0" xfId="3" applyFont="1" applyAlignment="1">
      <alignment horizontal="center"/>
    </xf>
    <xf numFmtId="166" fontId="35" fillId="0" borderId="0" xfId="2" applyNumberFormat="1" applyFont="1"/>
    <xf numFmtId="166" fontId="35" fillId="0" borderId="0" xfId="3" applyFont="1"/>
    <xf numFmtId="164" fontId="12" fillId="0" borderId="4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0" fontId="27" fillId="21" borderId="7" xfId="2" applyFont="1" applyFill="1" applyBorder="1" applyAlignment="1">
      <alignment horizontal="center" vertical="center" wrapText="1"/>
    </xf>
    <xf numFmtId="0" fontId="28" fillId="0" borderId="41" xfId="2" applyFont="1" applyBorder="1" applyAlignment="1">
      <alignment horizontal="center"/>
    </xf>
    <xf numFmtId="0" fontId="32" fillId="0" borderId="0" xfId="2" applyFont="1"/>
    <xf numFmtId="0" fontId="30" fillId="0" borderId="0" xfId="2" applyFont="1" applyAlignment="1">
      <alignment horizontal="center"/>
    </xf>
    <xf numFmtId="4" fontId="29" fillId="0" borderId="0" xfId="2" applyNumberFormat="1" applyFont="1" applyAlignment="1">
      <alignment horizontal="center"/>
    </xf>
    <xf numFmtId="4" fontId="29" fillId="0" borderId="0" xfId="2" applyNumberFormat="1" applyFont="1"/>
    <xf numFmtId="0" fontId="28" fillId="0" borderId="35" xfId="2" applyFont="1" applyBorder="1"/>
    <xf numFmtId="0" fontId="28" fillId="0" borderId="1" xfId="2" applyFont="1" applyBorder="1" applyAlignment="1">
      <alignment horizontal="center"/>
    </xf>
    <xf numFmtId="0" fontId="28" fillId="0" borderId="1" xfId="2" applyFont="1" applyBorder="1"/>
    <xf numFmtId="0" fontId="26" fillId="21" borderId="13" xfId="2" applyFont="1" applyFill="1" applyBorder="1" applyAlignment="1">
      <alignment horizontal="center" vertical="center" wrapText="1"/>
    </xf>
    <xf numFmtId="4" fontId="29" fillId="0" borderId="58" xfId="2" applyNumberFormat="1" applyFont="1" applyBorder="1"/>
    <xf numFmtId="4" fontId="29" fillId="0" borderId="59" xfId="2" applyNumberFormat="1" applyFont="1" applyBorder="1"/>
    <xf numFmtId="164" fontId="35" fillId="0" borderId="1" xfId="3" applyNumberFormat="1" applyFont="1" applyBorder="1"/>
    <xf numFmtId="10" fontId="23" fillId="0" borderId="41" xfId="2" applyNumberFormat="1" applyBorder="1"/>
    <xf numFmtId="166" fontId="10" fillId="0" borderId="1" xfId="3" applyFont="1" applyBorder="1" applyAlignment="1">
      <alignment horizontal="right"/>
    </xf>
    <xf numFmtId="0" fontId="1" fillId="2" borderId="39" xfId="0" applyFont="1" applyFill="1" applyBorder="1" applyAlignment="1">
      <alignment horizontal="center" vertical="center" wrapText="1"/>
    </xf>
    <xf numFmtId="165" fontId="0" fillId="6" borderId="3" xfId="0" applyNumberForma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1" fillId="3" borderId="13" xfId="0" applyFont="1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2" fillId="0" borderId="44" xfId="0" applyFont="1" applyBorder="1" applyAlignment="1">
      <alignment vertical="center"/>
    </xf>
    <xf numFmtId="0" fontId="38" fillId="0" borderId="1" xfId="0" applyFont="1" applyBorder="1" applyAlignment="1">
      <alignment horizontal="left" wrapText="1"/>
    </xf>
    <xf numFmtId="2" fontId="12" fillId="0" borderId="23" xfId="0" applyNumberFormat="1" applyFont="1" applyBorder="1" applyAlignment="1">
      <alignment horizontal="center"/>
    </xf>
    <xf numFmtId="10" fontId="12" fillId="0" borderId="0" xfId="0" applyNumberFormat="1" applyFont="1"/>
    <xf numFmtId="0" fontId="11" fillId="0" borderId="0" xfId="0" applyFont="1" applyAlignment="1">
      <alignment horizontal="left" wrapText="1"/>
    </xf>
    <xf numFmtId="0" fontId="12" fillId="0" borderId="9" xfId="0" applyFont="1" applyBorder="1" applyAlignment="1">
      <alignment vertical="center"/>
    </xf>
    <xf numFmtId="10" fontId="12" fillId="0" borderId="4" xfId="0" applyNumberFormat="1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1" fillId="0" borderId="5" xfId="0" applyFont="1" applyBorder="1" applyAlignment="1">
      <alignment horizontal="left" wrapText="1"/>
    </xf>
    <xf numFmtId="0" fontId="12" fillId="0" borderId="5" xfId="0" applyFont="1" applyBorder="1" applyAlignment="1">
      <alignment horizontal="center"/>
    </xf>
    <xf numFmtId="164" fontId="11" fillId="11" borderId="5" xfId="0" applyNumberFormat="1" applyFont="1" applyFill="1" applyBorder="1"/>
    <xf numFmtId="164" fontId="11" fillId="0" borderId="1" xfId="0" applyNumberFormat="1" applyFont="1" applyBorder="1"/>
    <xf numFmtId="164" fontId="11" fillId="14" borderId="1" xfId="0" applyNumberFormat="1" applyFont="1" applyFill="1" applyBorder="1"/>
    <xf numFmtId="0" fontId="11" fillId="14" borderId="11" xfId="0" applyFont="1" applyFill="1" applyBorder="1" applyAlignment="1">
      <alignment horizontal="left" wrapText="1"/>
    </xf>
    <xf numFmtId="0" fontId="11" fillId="14" borderId="12" xfId="0" applyFont="1" applyFill="1" applyBorder="1" applyAlignment="1">
      <alignment horizontal="center"/>
    </xf>
    <xf numFmtId="164" fontId="11" fillId="14" borderId="13" xfId="0" applyNumberFormat="1" applyFont="1" applyFill="1" applyBorder="1"/>
    <xf numFmtId="0" fontId="11" fillId="0" borderId="19" xfId="0" applyFont="1" applyBorder="1"/>
    <xf numFmtId="0" fontId="11" fillId="0" borderId="21" xfId="0" applyFont="1" applyBorder="1" applyAlignment="1">
      <alignment horizontal="center"/>
    </xf>
    <xf numFmtId="164" fontId="11" fillId="0" borderId="0" xfId="0" applyNumberFormat="1" applyFont="1"/>
    <xf numFmtId="0" fontId="11" fillId="0" borderId="10" xfId="0" applyFont="1" applyBorder="1" applyAlignment="1">
      <alignment horizontal="left" wrapText="1"/>
    </xf>
    <xf numFmtId="164" fontId="12" fillId="0" borderId="8" xfId="0" applyNumberFormat="1" applyFont="1" applyBorder="1" applyAlignment="1">
      <alignment horizontal="center"/>
    </xf>
    <xf numFmtId="164" fontId="12" fillId="0" borderId="9" xfId="0" applyNumberFormat="1" applyFont="1" applyBorder="1" applyAlignment="1">
      <alignment horizontal="center"/>
    </xf>
    <xf numFmtId="10" fontId="12" fillId="0" borderId="9" xfId="0" applyNumberFormat="1" applyFont="1" applyBorder="1" applyAlignment="1">
      <alignment horizontal="center"/>
    </xf>
    <xf numFmtId="167" fontId="12" fillId="0" borderId="9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64" fontId="11" fillId="14" borderId="8" xfId="0" applyNumberFormat="1" applyFont="1" applyFill="1" applyBorder="1"/>
    <xf numFmtId="164" fontId="11" fillId="0" borderId="9" xfId="0" applyNumberFormat="1" applyFont="1" applyBorder="1"/>
    <xf numFmtId="164" fontId="12" fillId="0" borderId="9" xfId="0" applyNumberFormat="1" applyFont="1" applyBorder="1"/>
    <xf numFmtId="164" fontId="11" fillId="11" borderId="10" xfId="0" applyNumberFormat="1" applyFont="1" applyFill="1" applyBorder="1"/>
    <xf numFmtId="0" fontId="11" fillId="0" borderId="9" xfId="0" applyFont="1" applyBorder="1"/>
    <xf numFmtId="167" fontId="12" fillId="0" borderId="1" xfId="0" applyNumberFormat="1" applyFont="1" applyBorder="1" applyAlignment="1">
      <alignment horizontal="center"/>
    </xf>
    <xf numFmtId="0" fontId="11" fillId="0" borderId="22" xfId="0" applyFont="1" applyBorder="1"/>
    <xf numFmtId="0" fontId="12" fillId="0" borderId="23" xfId="0" applyFont="1" applyBorder="1"/>
    <xf numFmtId="0" fontId="11" fillId="0" borderId="23" xfId="0" applyFont="1" applyBorder="1"/>
    <xf numFmtId="164" fontId="12" fillId="0" borderId="52" xfId="0" applyNumberFormat="1" applyFont="1" applyBorder="1"/>
    <xf numFmtId="0" fontId="12" fillId="0" borderId="43" xfId="0" applyFont="1" applyBorder="1"/>
    <xf numFmtId="0" fontId="16" fillId="0" borderId="44" xfId="0" applyFont="1" applyBorder="1"/>
    <xf numFmtId="0" fontId="17" fillId="0" borderId="53" xfId="0" applyFont="1" applyBorder="1" applyAlignment="1">
      <alignment horizontal="left" vertical="center" wrapText="1"/>
    </xf>
    <xf numFmtId="2" fontId="12" fillId="0" borderId="52" xfId="0" applyNumberFormat="1" applyFont="1" applyBorder="1" applyAlignment="1">
      <alignment vertical="center"/>
    </xf>
    <xf numFmtId="164" fontId="14" fillId="23" borderId="28" xfId="0" applyNumberFormat="1" applyFont="1" applyFill="1" applyBorder="1"/>
    <xf numFmtId="164" fontId="20" fillId="23" borderId="28" xfId="0" applyNumberFormat="1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17" borderId="11" xfId="0" applyFont="1" applyFill="1" applyBorder="1" applyAlignment="1">
      <alignment horizontal="center" wrapText="1"/>
    </xf>
    <xf numFmtId="0" fontId="5" fillId="17" borderId="12" xfId="0" applyFont="1" applyFill="1" applyBorder="1" applyAlignment="1">
      <alignment horizontal="center" wrapText="1"/>
    </xf>
    <xf numFmtId="0" fontId="5" fillId="17" borderId="13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17" borderId="11" xfId="0" applyFont="1" applyFill="1" applyBorder="1" applyAlignment="1">
      <alignment horizontal="center" wrapText="1"/>
    </xf>
    <xf numFmtId="0" fontId="2" fillId="17" borderId="12" xfId="0" applyFont="1" applyFill="1" applyBorder="1" applyAlignment="1">
      <alignment horizontal="center" wrapText="1"/>
    </xf>
    <xf numFmtId="0" fontId="2" fillId="17" borderId="13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0" fillId="0" borderId="37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Alignment="1">
      <alignment horizontal="center" wrapText="1"/>
    </xf>
    <xf numFmtId="0" fontId="14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4" fillId="3" borderId="39" xfId="0" applyFont="1" applyFill="1" applyBorder="1" applyAlignment="1">
      <alignment horizontal="center" wrapText="1"/>
    </xf>
    <xf numFmtId="0" fontId="14" fillId="3" borderId="38" xfId="0" applyFont="1" applyFill="1" applyBorder="1" applyAlignment="1">
      <alignment horizontal="center" wrapText="1"/>
    </xf>
    <xf numFmtId="0" fontId="14" fillId="3" borderId="40" xfId="0" applyFont="1" applyFill="1" applyBorder="1" applyAlignment="1">
      <alignment horizontal="center"/>
    </xf>
    <xf numFmtId="0" fontId="14" fillId="3" borderId="37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 wrapText="1"/>
    </xf>
    <xf numFmtId="164" fontId="11" fillId="0" borderId="6" xfId="0" applyNumberFormat="1" applyFont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wrapText="1"/>
    </xf>
    <xf numFmtId="0" fontId="14" fillId="3" borderId="30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4" fillId="5" borderId="12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/>
    </xf>
    <xf numFmtId="0" fontId="12" fillId="0" borderId="41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1" fillId="7" borderId="39" xfId="0" applyFont="1" applyFill="1" applyBorder="1" applyAlignment="1">
      <alignment horizontal="center" vertical="center"/>
    </xf>
    <xf numFmtId="0" fontId="11" fillId="7" borderId="38" xfId="0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/>
    </xf>
    <xf numFmtId="0" fontId="11" fillId="7" borderId="40" xfId="0" applyFont="1" applyFill="1" applyBorder="1" applyAlignment="1">
      <alignment horizontal="center" vertical="center"/>
    </xf>
    <xf numFmtId="0" fontId="11" fillId="7" borderId="37" xfId="0" applyFont="1" applyFill="1" applyBorder="1" applyAlignment="1">
      <alignment horizontal="center" vertical="center"/>
    </xf>
    <xf numFmtId="0" fontId="11" fillId="7" borderId="30" xfId="0" applyFont="1" applyFill="1" applyBorder="1" applyAlignment="1">
      <alignment horizontal="center" vertical="center"/>
    </xf>
    <xf numFmtId="4" fontId="14" fillId="3" borderId="39" xfId="0" applyNumberFormat="1" applyFont="1" applyFill="1" applyBorder="1" applyAlignment="1">
      <alignment horizontal="center"/>
    </xf>
    <xf numFmtId="4" fontId="14" fillId="3" borderId="38" xfId="0" applyNumberFormat="1" applyFont="1" applyFill="1" applyBorder="1" applyAlignment="1">
      <alignment horizontal="center"/>
    </xf>
    <xf numFmtId="4" fontId="14" fillId="3" borderId="33" xfId="0" applyNumberFormat="1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4" fontId="11" fillId="0" borderId="39" xfId="0" applyNumberFormat="1" applyFont="1" applyBorder="1" applyAlignment="1">
      <alignment horizontal="center" wrapText="1"/>
    </xf>
    <xf numFmtId="4" fontId="11" fillId="0" borderId="38" xfId="0" applyNumberFormat="1" applyFont="1" applyBorder="1" applyAlignment="1">
      <alignment horizontal="center" wrapText="1"/>
    </xf>
    <xf numFmtId="4" fontId="11" fillId="0" borderId="33" xfId="0" applyNumberFormat="1" applyFont="1" applyBorder="1" applyAlignment="1">
      <alignment horizontal="center" wrapText="1"/>
    </xf>
    <xf numFmtId="4" fontId="11" fillId="0" borderId="40" xfId="0" applyNumberFormat="1" applyFont="1" applyBorder="1" applyAlignment="1">
      <alignment horizontal="left"/>
    </xf>
    <xf numFmtId="4" fontId="11" fillId="0" borderId="37" xfId="0" applyNumberFormat="1" applyFont="1" applyBorder="1" applyAlignment="1">
      <alignment horizontal="left"/>
    </xf>
    <xf numFmtId="4" fontId="11" fillId="0" borderId="30" xfId="0" applyNumberFormat="1" applyFont="1" applyBorder="1" applyAlignment="1">
      <alignment horizontal="left"/>
    </xf>
    <xf numFmtId="0" fontId="11" fillId="0" borderId="39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4" fillId="13" borderId="6" xfId="0" applyFont="1" applyFill="1" applyBorder="1" applyAlignment="1">
      <alignment horizontal="left"/>
    </xf>
    <xf numFmtId="0" fontId="11" fillId="15" borderId="19" xfId="0" applyFont="1" applyFill="1" applyBorder="1" applyAlignment="1">
      <alignment horizontal="center" vertical="center"/>
    </xf>
    <xf numFmtId="0" fontId="11" fillId="15" borderId="2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4" fillId="9" borderId="6" xfId="0" applyFont="1" applyFill="1" applyBorder="1" applyAlignment="1">
      <alignment horizontal="left"/>
    </xf>
    <xf numFmtId="164" fontId="11" fillId="16" borderId="47" xfId="0" applyNumberFormat="1" applyFont="1" applyFill="1" applyBorder="1" applyAlignment="1">
      <alignment horizontal="center"/>
    </xf>
    <xf numFmtId="164" fontId="11" fillId="16" borderId="48" xfId="0" applyNumberFormat="1" applyFont="1" applyFill="1" applyBorder="1" applyAlignment="1">
      <alignment horizontal="center"/>
    </xf>
    <xf numFmtId="0" fontId="19" fillId="14" borderId="6" xfId="0" applyFont="1" applyFill="1" applyBorder="1" applyAlignment="1">
      <alignment horizontal="left"/>
    </xf>
    <xf numFmtId="0" fontId="12" fillId="0" borderId="0" xfId="0" applyFont="1" applyAlignment="1">
      <alignment horizontal="center"/>
    </xf>
    <xf numFmtId="0" fontId="11" fillId="16" borderId="19" xfId="0" applyFont="1" applyFill="1" applyBorder="1" applyAlignment="1">
      <alignment horizontal="center" vertical="center"/>
    </xf>
    <xf numFmtId="0" fontId="11" fillId="16" borderId="22" xfId="0" applyFont="1" applyFill="1" applyBorder="1" applyAlignment="1">
      <alignment horizontal="center" vertical="center"/>
    </xf>
    <xf numFmtId="164" fontId="11" fillId="15" borderId="47" xfId="0" applyNumberFormat="1" applyFont="1" applyFill="1" applyBorder="1" applyAlignment="1">
      <alignment horizontal="center"/>
    </xf>
    <xf numFmtId="164" fontId="11" fillId="15" borderId="48" xfId="0" applyNumberFormat="1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 vertical="center"/>
    </xf>
    <xf numFmtId="0" fontId="11" fillId="12" borderId="22" xfId="0" applyFont="1" applyFill="1" applyBorder="1" applyAlignment="1">
      <alignment horizontal="center" vertical="center"/>
    </xf>
    <xf numFmtId="164" fontId="11" fillId="12" borderId="47" xfId="0" applyNumberFormat="1" applyFont="1" applyFill="1" applyBorder="1" applyAlignment="1">
      <alignment horizontal="center"/>
    </xf>
    <xf numFmtId="164" fontId="11" fillId="12" borderId="48" xfId="0" applyNumberFormat="1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1" fillId="11" borderId="41" xfId="0" applyFont="1" applyFill="1" applyBorder="1" applyAlignment="1">
      <alignment horizontal="center"/>
    </xf>
    <xf numFmtId="0" fontId="11" fillId="11" borderId="0" xfId="0" applyFont="1" applyFill="1" applyAlignment="1">
      <alignment horizontal="center"/>
    </xf>
    <xf numFmtId="0" fontId="22" fillId="2" borderId="39" xfId="0" applyFont="1" applyFill="1" applyBorder="1" applyAlignment="1">
      <alignment horizontal="center" vertical="center" wrapText="1"/>
    </xf>
    <xf numFmtId="0" fontId="22" fillId="2" borderId="38" xfId="0" applyFont="1" applyFill="1" applyBorder="1" applyAlignment="1">
      <alignment horizontal="center" vertical="center" wrapText="1"/>
    </xf>
    <xf numFmtId="0" fontId="22" fillId="2" borderId="33" xfId="0" applyFont="1" applyFill="1" applyBorder="1" applyAlignment="1">
      <alignment horizontal="center" vertical="center" wrapText="1"/>
    </xf>
    <xf numFmtId="0" fontId="22" fillId="2" borderId="40" xfId="0" applyFont="1" applyFill="1" applyBorder="1" applyAlignment="1">
      <alignment horizontal="center" vertical="center" wrapText="1"/>
    </xf>
    <xf numFmtId="0" fontId="22" fillId="2" borderId="37" xfId="0" applyFont="1" applyFill="1" applyBorder="1" applyAlignment="1">
      <alignment horizontal="center" vertical="center" wrapText="1"/>
    </xf>
    <xf numFmtId="0" fontId="22" fillId="2" borderId="3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11" borderId="11" xfId="0" applyFont="1" applyFill="1" applyBorder="1" applyAlignment="1">
      <alignment horizontal="center"/>
    </xf>
    <xf numFmtId="0" fontId="11" fillId="11" borderId="12" xfId="0" applyFont="1" applyFill="1" applyBorder="1" applyAlignment="1">
      <alignment horizontal="center"/>
    </xf>
    <xf numFmtId="0" fontId="11" fillId="11" borderId="13" xfId="0" applyFont="1" applyFill="1" applyBorder="1" applyAlignment="1">
      <alignment horizontal="center"/>
    </xf>
    <xf numFmtId="0" fontId="14" fillId="23" borderId="39" xfId="0" applyFont="1" applyFill="1" applyBorder="1" applyAlignment="1">
      <alignment horizontal="center" vertical="center" wrapText="1"/>
    </xf>
    <xf numFmtId="0" fontId="14" fillId="23" borderId="38" xfId="0" applyFont="1" applyFill="1" applyBorder="1" applyAlignment="1">
      <alignment horizontal="center" vertical="center" wrapText="1"/>
    </xf>
    <xf numFmtId="0" fontId="14" fillId="23" borderId="33" xfId="0" applyFont="1" applyFill="1" applyBorder="1" applyAlignment="1">
      <alignment horizontal="center" vertical="center" wrapText="1"/>
    </xf>
    <xf numFmtId="0" fontId="14" fillId="23" borderId="40" xfId="0" applyFont="1" applyFill="1" applyBorder="1" applyAlignment="1">
      <alignment horizontal="center" vertical="center" wrapText="1"/>
    </xf>
    <xf numFmtId="0" fontId="14" fillId="23" borderId="37" xfId="0" applyFont="1" applyFill="1" applyBorder="1" applyAlignment="1">
      <alignment horizontal="center" vertical="center" wrapText="1"/>
    </xf>
    <xf numFmtId="0" fontId="14" fillId="23" borderId="30" xfId="0" applyFont="1" applyFill="1" applyBorder="1" applyAlignment="1">
      <alignment horizontal="center" vertical="center" wrapText="1"/>
    </xf>
    <xf numFmtId="0" fontId="11" fillId="0" borderId="49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60" xfId="0" applyFont="1" applyBorder="1" applyAlignment="1">
      <alignment horizontal="center"/>
    </xf>
    <xf numFmtId="0" fontId="14" fillId="3" borderId="39" xfId="0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4" fillId="3" borderId="40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1" fillId="11" borderId="35" xfId="0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12" fillId="10" borderId="65" xfId="0" applyFont="1" applyFill="1" applyBorder="1" applyAlignment="1">
      <alignment horizontal="center"/>
    </xf>
    <xf numFmtId="0" fontId="12" fillId="10" borderId="64" xfId="0" applyFont="1" applyFill="1" applyBorder="1" applyAlignment="1">
      <alignment horizontal="center"/>
    </xf>
    <xf numFmtId="0" fontId="12" fillId="10" borderId="48" xfId="0" applyFont="1" applyFill="1" applyBorder="1" applyAlignment="1">
      <alignment horizontal="center"/>
    </xf>
    <xf numFmtId="0" fontId="11" fillId="0" borderId="44" xfId="0" applyFont="1" applyBorder="1" applyAlignment="1">
      <alignment horizontal="left" vertical="center"/>
    </xf>
    <xf numFmtId="0" fontId="14" fillId="23" borderId="26" xfId="0" applyFont="1" applyFill="1" applyBorder="1" applyAlignment="1">
      <alignment horizontal="left"/>
    </xf>
    <xf numFmtId="0" fontId="14" fillId="23" borderId="27" xfId="0" applyFont="1" applyFill="1" applyBorder="1" applyAlignment="1">
      <alignment horizontal="left"/>
    </xf>
    <xf numFmtId="0" fontId="11" fillId="18" borderId="11" xfId="0" applyFont="1" applyFill="1" applyBorder="1" applyAlignment="1">
      <alignment horizontal="left"/>
    </xf>
    <xf numFmtId="0" fontId="11" fillId="18" borderId="34" xfId="0" applyFont="1" applyFill="1" applyBorder="1" applyAlignment="1">
      <alignment horizontal="left"/>
    </xf>
    <xf numFmtId="0" fontId="11" fillId="19" borderId="26" xfId="0" applyFont="1" applyFill="1" applyBorder="1" applyAlignment="1">
      <alignment horizontal="left"/>
    </xf>
    <xf numFmtId="0" fontId="11" fillId="19" borderId="27" xfId="0" applyFont="1" applyFill="1" applyBorder="1" applyAlignment="1">
      <alignment horizontal="left"/>
    </xf>
    <xf numFmtId="0" fontId="11" fillId="20" borderId="26" xfId="0" applyFont="1" applyFill="1" applyBorder="1" applyAlignment="1">
      <alignment horizontal="left"/>
    </xf>
    <xf numFmtId="0" fontId="11" fillId="20" borderId="27" xfId="0" applyFont="1" applyFill="1" applyBorder="1" applyAlignment="1">
      <alignment horizontal="left"/>
    </xf>
    <xf numFmtId="0" fontId="11" fillId="0" borderId="1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18" borderId="51" xfId="0" applyFont="1" applyFill="1" applyBorder="1" applyAlignment="1">
      <alignment horizontal="center" vertical="center"/>
    </xf>
    <xf numFmtId="0" fontId="11" fillId="18" borderId="25" xfId="0" applyFont="1" applyFill="1" applyBorder="1" applyAlignment="1">
      <alignment horizontal="center" vertical="center"/>
    </xf>
    <xf numFmtId="164" fontId="11" fillId="18" borderId="47" xfId="0" applyNumberFormat="1" applyFont="1" applyFill="1" applyBorder="1" applyAlignment="1">
      <alignment horizontal="center"/>
    </xf>
    <xf numFmtId="164" fontId="11" fillId="18" borderId="48" xfId="0" applyNumberFormat="1" applyFont="1" applyFill="1" applyBorder="1" applyAlignment="1">
      <alignment horizontal="center"/>
    </xf>
    <xf numFmtId="0" fontId="11" fillId="19" borderId="19" xfId="0" applyFont="1" applyFill="1" applyBorder="1" applyAlignment="1">
      <alignment horizontal="center" vertical="center"/>
    </xf>
    <xf numFmtId="0" fontId="11" fillId="19" borderId="22" xfId="0" applyFont="1" applyFill="1" applyBorder="1" applyAlignment="1">
      <alignment horizontal="center" vertical="center"/>
    </xf>
    <xf numFmtId="164" fontId="11" fillId="19" borderId="47" xfId="0" applyNumberFormat="1" applyFont="1" applyFill="1" applyBorder="1" applyAlignment="1">
      <alignment horizontal="center"/>
    </xf>
    <xf numFmtId="164" fontId="11" fillId="19" borderId="48" xfId="0" applyNumberFormat="1" applyFont="1" applyFill="1" applyBorder="1" applyAlignment="1">
      <alignment horizontal="center"/>
    </xf>
    <xf numFmtId="0" fontId="11" fillId="20" borderId="19" xfId="0" applyFont="1" applyFill="1" applyBorder="1" applyAlignment="1">
      <alignment horizontal="center" vertical="center"/>
    </xf>
    <xf numFmtId="0" fontId="11" fillId="20" borderId="22" xfId="0" applyFont="1" applyFill="1" applyBorder="1" applyAlignment="1">
      <alignment horizontal="center" vertical="center"/>
    </xf>
    <xf numFmtId="0" fontId="19" fillId="23" borderId="26" xfId="0" applyFont="1" applyFill="1" applyBorder="1" applyAlignment="1">
      <alignment horizontal="left"/>
    </xf>
    <xf numFmtId="0" fontId="19" fillId="23" borderId="27" xfId="0" applyFont="1" applyFill="1" applyBorder="1" applyAlignment="1">
      <alignment horizontal="left"/>
    </xf>
    <xf numFmtId="164" fontId="12" fillId="0" borderId="45" xfId="0" applyNumberFormat="1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164" fontId="11" fillId="20" borderId="47" xfId="0" applyNumberFormat="1" applyFont="1" applyFill="1" applyBorder="1" applyAlignment="1">
      <alignment horizontal="center"/>
    </xf>
    <xf numFmtId="164" fontId="11" fillId="20" borderId="48" xfId="0" applyNumberFormat="1" applyFont="1" applyFill="1" applyBorder="1" applyAlignment="1">
      <alignment horizontal="center"/>
    </xf>
    <xf numFmtId="0" fontId="11" fillId="22" borderId="11" xfId="0" applyFont="1" applyFill="1" applyBorder="1" applyAlignment="1">
      <alignment horizontal="center"/>
    </xf>
    <xf numFmtId="0" fontId="11" fillId="22" borderId="12" xfId="0" applyFont="1" applyFill="1" applyBorder="1" applyAlignment="1">
      <alignment horizontal="center"/>
    </xf>
    <xf numFmtId="0" fontId="11" fillId="22" borderId="13" xfId="0" applyFont="1" applyFill="1" applyBorder="1" applyAlignment="1">
      <alignment horizontal="center"/>
    </xf>
    <xf numFmtId="0" fontId="11" fillId="22" borderId="11" xfId="0" applyFont="1" applyFill="1" applyBorder="1" applyAlignment="1">
      <alignment horizontal="left"/>
    </xf>
    <xf numFmtId="0" fontId="11" fillId="22" borderId="34" xfId="0" applyFont="1" applyFill="1" applyBorder="1" applyAlignment="1">
      <alignment horizontal="left"/>
    </xf>
    <xf numFmtId="165" fontId="11" fillId="0" borderId="47" xfId="0" applyNumberFormat="1" applyFont="1" applyBorder="1" applyAlignment="1">
      <alignment horizontal="center" vertical="center"/>
    </xf>
    <xf numFmtId="165" fontId="11" fillId="0" borderId="48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4" fontId="11" fillId="0" borderId="47" xfId="0" applyNumberFormat="1" applyFont="1" applyBorder="1" applyAlignment="1">
      <alignment horizontal="center" vertical="center"/>
    </xf>
    <xf numFmtId="4" fontId="11" fillId="0" borderId="48" xfId="0" applyNumberFormat="1" applyFont="1" applyBorder="1" applyAlignment="1">
      <alignment horizontal="center" vertical="center"/>
    </xf>
    <xf numFmtId="0" fontId="14" fillId="3" borderId="19" xfId="0" applyFont="1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4" fillId="3" borderId="54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2" fillId="0" borderId="44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53" xfId="0" applyFont="1" applyBorder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4" fillId="21" borderId="11" xfId="0" applyFont="1" applyFill="1" applyBorder="1" applyAlignment="1">
      <alignment horizontal="left" wrapText="1"/>
    </xf>
    <xf numFmtId="0" fontId="14" fillId="21" borderId="12" xfId="0" applyFont="1" applyFill="1" applyBorder="1" applyAlignment="1">
      <alignment horizontal="left" wrapText="1"/>
    </xf>
    <xf numFmtId="0" fontId="14" fillId="21" borderId="13" xfId="0" applyFont="1" applyFill="1" applyBorder="1" applyAlignment="1">
      <alignment horizontal="left" wrapText="1"/>
    </xf>
    <xf numFmtId="4" fontId="12" fillId="0" borderId="47" xfId="0" applyNumberFormat="1" applyFont="1" applyBorder="1" applyAlignment="1">
      <alignment horizontal="center" vertical="center"/>
    </xf>
    <xf numFmtId="4" fontId="12" fillId="0" borderId="48" xfId="0" applyNumberFormat="1" applyFont="1" applyBorder="1" applyAlignment="1">
      <alignment horizontal="center" vertical="center"/>
    </xf>
    <xf numFmtId="165" fontId="11" fillId="0" borderId="18" xfId="0" applyNumberFormat="1" applyFont="1" applyBorder="1" applyAlignment="1">
      <alignment horizontal="center" vertical="center"/>
    </xf>
    <xf numFmtId="165" fontId="11" fillId="0" borderId="29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24" fillId="0" borderId="39" xfId="2" applyFont="1" applyBorder="1" applyAlignment="1">
      <alignment horizontal="center"/>
    </xf>
    <xf numFmtId="0" fontId="24" fillId="0" borderId="38" xfId="2" applyFont="1" applyBorder="1" applyAlignment="1">
      <alignment horizontal="center"/>
    </xf>
    <xf numFmtId="0" fontId="24" fillId="0" borderId="33" xfId="2" applyFont="1" applyBorder="1" applyAlignment="1">
      <alignment horizontal="center"/>
    </xf>
    <xf numFmtId="0" fontId="25" fillId="0" borderId="41" xfId="2" applyFont="1" applyBorder="1" applyAlignment="1">
      <alignment horizontal="center"/>
    </xf>
    <xf numFmtId="0" fontId="25" fillId="0" borderId="0" xfId="2" applyFont="1" applyAlignment="1">
      <alignment horizontal="center"/>
    </xf>
    <xf numFmtId="0" fontId="25" fillId="0" borderId="35" xfId="2" applyFont="1" applyBorder="1" applyAlignment="1">
      <alignment horizontal="center"/>
    </xf>
    <xf numFmtId="17" fontId="25" fillId="0" borderId="41" xfId="2" applyNumberFormat="1" applyFont="1" applyBorder="1" applyAlignment="1">
      <alignment horizontal="center"/>
    </xf>
    <xf numFmtId="17" fontId="25" fillId="0" borderId="0" xfId="2" applyNumberFormat="1" applyFont="1" applyAlignment="1">
      <alignment horizontal="center"/>
    </xf>
    <xf numFmtId="17" fontId="25" fillId="0" borderId="35" xfId="2" applyNumberFormat="1" applyFont="1" applyBorder="1" applyAlignment="1">
      <alignment horizontal="center"/>
    </xf>
    <xf numFmtId="0" fontId="23" fillId="0" borderId="40" xfId="2" applyBorder="1" applyAlignment="1">
      <alignment horizontal="center"/>
    </xf>
    <xf numFmtId="0" fontId="23" fillId="0" borderId="37" xfId="2" applyBorder="1" applyAlignment="1">
      <alignment horizontal="center"/>
    </xf>
    <xf numFmtId="0" fontId="23" fillId="0" borderId="30" xfId="2" applyBorder="1" applyAlignment="1">
      <alignment horizontal="center"/>
    </xf>
  </cellXfs>
  <cellStyles count="4">
    <cellStyle name="Millares 3" xfId="3" xr:uid="{C7BE202E-E906-40DD-97C1-3D61B7916D64}"/>
    <cellStyle name="Normal" xfId="0" builtinId="0"/>
    <cellStyle name="Normal 2" xfId="2" xr:uid="{5FEAC3E6-9764-44E3-B5DC-0C3D8BBD37B3}"/>
    <cellStyle name="Porcentaje" xfId="1" builtinId="5"/>
  </cellStyles>
  <dxfs count="0"/>
  <tableStyles count="0" defaultTableStyle="TableStyleMedium2" defaultPivotStyle="PivotStyleLight16"/>
  <colors>
    <mruColors>
      <color rgb="FF0099CC"/>
      <color rgb="FFFFCCFF"/>
      <color rgb="FFFFFF99"/>
      <color rgb="FFFF66CC"/>
      <color rgb="FF66FF33"/>
      <color rgb="FF666633"/>
      <color rgb="FFFF9900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171450</xdr:colOff>
      <xdr:row>9</xdr:row>
      <xdr:rowOff>71437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364BFC1-0708-4FDF-987B-EAE84F837357}"/>
            </a:ext>
          </a:extLst>
        </xdr:cNvPr>
        <xdr:cNvSpPr txBox="1"/>
      </xdr:nvSpPr>
      <xdr:spPr>
        <a:xfrm>
          <a:off x="8458200" y="3176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PA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171450</xdr:colOff>
      <xdr:row>9</xdr:row>
      <xdr:rowOff>71437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3D87396-6D9A-40AE-B2B6-B6340622C295}"/>
            </a:ext>
          </a:extLst>
        </xdr:cNvPr>
        <xdr:cNvSpPr txBox="1"/>
      </xdr:nvSpPr>
      <xdr:spPr>
        <a:xfrm>
          <a:off x="6781800" y="2709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PA" sz="1100"/>
        </a:p>
      </xdr:txBody>
    </xdr:sp>
    <xdr:clientData/>
  </xdr:oneCellAnchor>
  <xdr:oneCellAnchor>
    <xdr:from>
      <xdr:col>0</xdr:col>
      <xdr:colOff>171450</xdr:colOff>
      <xdr:row>28</xdr:row>
      <xdr:rowOff>0</xdr:rowOff>
    </xdr:from>
    <xdr:ext cx="65" cy="172227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6043151-E1A6-4EE1-A453-729717205D74}"/>
            </a:ext>
          </a:extLst>
        </xdr:cNvPr>
        <xdr:cNvSpPr txBox="1"/>
      </xdr:nvSpPr>
      <xdr:spPr>
        <a:xfrm>
          <a:off x="6781800" y="2709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PA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ina cardoze" id="{9517FBE6-C9B6-4A94-9703-2F49B8259F4C}" userId="alina cardoze" providerId="None"/>
  <person displayName="Alina Osiris Cardoze Guardia" id="{F5F843CE-A3FD-418E-9176-45F4B1413360}" userId="2179ed394511c734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1-07-13T10:14:59.35" personId="{9517FBE6-C9B6-4A94-9703-2F49B8259F4C}" id="{2841C350-EB00-4F7D-A827-5EC50B7D0477}">
    <text>Sume todas las deducciones</text>
  </threadedComment>
  <threadedComment ref="D20" dT="2021-07-13T10:14:59.35" personId="{9517FBE6-C9B6-4A94-9703-2F49B8259F4C}" id="{D4C759FD-AA5A-4BA6-98C3-A2DCE8C9D418}">
    <text>Sume todas las deducciones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6" dT="2021-07-13T10:29:55.30" personId="{9517FBE6-C9B6-4A94-9703-2F49B8259F4C}" id="{4FBEDF43-F8A8-4977-8C29-3CD2CC194209}">
    <text>Asignado por la Caja de Seguro Social a cada empresa, dependiendo de la actividad y peligrosidad de la misma.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6" dT="2020-06-03T05:41:00.85" personId="{F5F843CE-A3FD-418E-9176-45F4B1413360}" id="{4DC5B094-5ABC-4D25-96E7-2B33DD290DEB}">
    <text>Salarios x 0.090909 o Totalidad de Salarios entre 11</text>
  </threadedComment>
  <threadedComment ref="B27" dT="2020-06-03T05:41:55.43" personId="{F5F843CE-A3FD-418E-9176-45F4B1413360}" id="{9123E039-89D6-4FB8-B1C8-F766890E7595}">
    <text>Totalidad de Salarios  x 0.083333 o Totalidad de Salarios /12</text>
  </threadedComment>
  <threadedComment ref="B28" dT="2020-06-03T05:43:19.34" personId="{F5F843CE-A3FD-418E-9176-45F4B1413360}" id="{541CD3C8-0143-4B9B-B5E6-C86D32F26C27}">
    <text>1/52= 0.01923 es decir Totalidad de salarios por 1.923%</text>
  </threadedComment>
  <threadedComment ref="B29" dT="2021-07-13T09:48:34.84" personId="{9517FBE6-C9B6-4A94-9703-2F49B8259F4C}" id="{F6C07655-36A6-42D2-915C-5F9CEF58A3FA}">
    <text>Totalidad de Salarios x 6.53846%</text>
  </threadedComment>
  <threadedComment ref="B36" dT="2021-07-13T09:55:42.32" personId="{9517FBE6-C9B6-4A94-9703-2F49B8259F4C}" id="{51321A7F-EF87-4FE6-8AE6-C6697A1B5229}">
    <text>S.S. PATRONO 10.75%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49D7-8E77-4427-89B9-1F9B30F66340}">
  <sheetPr>
    <tabColor theme="9"/>
  </sheetPr>
  <dimension ref="A1:P78"/>
  <sheetViews>
    <sheetView topLeftCell="G2" zoomScale="184" zoomScaleNormal="184" workbookViewId="0">
      <selection activeCell="L6" sqref="L6"/>
    </sheetView>
  </sheetViews>
  <sheetFormatPr baseColWidth="10" defaultRowHeight="14.4" x14ac:dyDescent="0.3"/>
  <cols>
    <col min="1" max="1" width="11.5546875" customWidth="1"/>
    <col min="2" max="2" width="24.5546875" customWidth="1"/>
    <col min="3" max="3" width="15.44140625" customWidth="1"/>
    <col min="4" max="4" width="13.5546875" customWidth="1"/>
    <col min="5" max="5" width="14.5546875" customWidth="1"/>
    <col min="6" max="6" width="11" customWidth="1"/>
    <col min="7" max="7" width="13" customWidth="1"/>
    <col min="8" max="8" width="2" customWidth="1"/>
    <col min="9" max="9" width="2.109375" customWidth="1"/>
    <col min="10" max="10" width="11.5546875" customWidth="1"/>
    <col min="11" max="11" width="24.5546875" customWidth="1"/>
    <col min="12" max="12" width="15.44140625" customWidth="1"/>
    <col min="13" max="13" width="13.5546875" customWidth="1"/>
    <col min="14" max="14" width="14.5546875" customWidth="1"/>
    <col min="15" max="15" width="11" customWidth="1"/>
  </cols>
  <sheetData>
    <row r="1" spans="1:15" x14ac:dyDescent="0.3">
      <c r="A1" s="269" t="s">
        <v>2</v>
      </c>
      <c r="B1" s="269"/>
      <c r="C1" s="269"/>
      <c r="D1" s="269"/>
      <c r="E1" s="269"/>
      <c r="F1" s="269"/>
      <c r="H1" s="270"/>
      <c r="I1" s="283"/>
      <c r="J1" s="269" t="s">
        <v>2</v>
      </c>
      <c r="K1" s="269"/>
      <c r="L1" s="269"/>
      <c r="M1" s="269"/>
      <c r="N1" s="269"/>
      <c r="O1" s="269"/>
    </row>
    <row r="2" spans="1:15" ht="15" thickBot="1" x14ac:dyDescent="0.35">
      <c r="A2" s="269" t="s">
        <v>30</v>
      </c>
      <c r="B2" s="269"/>
      <c r="C2" s="269"/>
      <c r="D2" s="269"/>
      <c r="E2" s="269"/>
      <c r="F2" s="269"/>
      <c r="H2" s="270"/>
      <c r="I2" s="283"/>
      <c r="J2" s="269" t="s">
        <v>30</v>
      </c>
      <c r="K2" s="269"/>
      <c r="L2" s="269"/>
      <c r="M2" s="269"/>
      <c r="N2" s="269"/>
      <c r="O2" s="269"/>
    </row>
    <row r="3" spans="1:15" ht="15" thickBot="1" x14ac:dyDescent="0.35">
      <c r="A3" s="277" t="s">
        <v>166</v>
      </c>
      <c r="B3" s="278"/>
      <c r="C3" s="278"/>
      <c r="D3" s="278"/>
      <c r="E3" s="278"/>
      <c r="F3" s="279"/>
      <c r="G3" s="282"/>
      <c r="H3" s="270"/>
      <c r="I3" s="283"/>
      <c r="J3" s="277" t="s">
        <v>166</v>
      </c>
      <c r="K3" s="278"/>
      <c r="L3" s="278"/>
      <c r="M3" s="278"/>
      <c r="N3" s="278"/>
      <c r="O3" s="279"/>
    </row>
    <row r="4" spans="1:15" s="18" customFormat="1" ht="26.4" x14ac:dyDescent="0.3">
      <c r="A4" s="16" t="s">
        <v>0</v>
      </c>
      <c r="B4" s="17" t="s">
        <v>1</v>
      </c>
      <c r="C4" s="17" t="s">
        <v>16</v>
      </c>
      <c r="D4" s="17" t="s">
        <v>17</v>
      </c>
      <c r="E4" s="16" t="s">
        <v>18</v>
      </c>
      <c r="F4" s="17" t="s">
        <v>10</v>
      </c>
      <c r="G4" s="282"/>
      <c r="H4" s="270"/>
      <c r="I4" s="283"/>
      <c r="J4" s="221" t="s">
        <v>0</v>
      </c>
      <c r="K4" s="17" t="s">
        <v>1</v>
      </c>
      <c r="L4" s="17" t="s">
        <v>16</v>
      </c>
      <c r="M4" s="17" t="s">
        <v>17</v>
      </c>
      <c r="N4" s="16" t="s">
        <v>18</v>
      </c>
      <c r="O4" s="17" t="s">
        <v>10</v>
      </c>
    </row>
    <row r="5" spans="1:15" s="5" customFormat="1" ht="27.6" x14ac:dyDescent="0.3">
      <c r="A5" s="6">
        <v>1</v>
      </c>
      <c r="B5" s="9" t="s">
        <v>13</v>
      </c>
      <c r="C5" s="6">
        <v>48</v>
      </c>
      <c r="D5" s="6">
        <v>2.91</v>
      </c>
      <c r="E5" s="6">
        <v>4.3333000000000004</v>
      </c>
      <c r="F5" s="14">
        <f t="shared" ref="F5:F12" si="0">C5*D5*E5</f>
        <v>605.27534400000013</v>
      </c>
      <c r="G5" s="282"/>
      <c r="H5" s="270"/>
      <c r="I5" s="283"/>
      <c r="J5" s="222">
        <v>1</v>
      </c>
      <c r="K5" s="9" t="s">
        <v>180</v>
      </c>
      <c r="L5" s="6">
        <v>40</v>
      </c>
      <c r="M5" s="6">
        <v>3.1</v>
      </c>
      <c r="N5" s="6">
        <v>4.3333000000000004</v>
      </c>
      <c r="O5" s="14">
        <f t="shared" ref="O5:O12" si="1">L5*M5*N5</f>
        <v>537.32920000000001</v>
      </c>
    </row>
    <row r="6" spans="1:15" ht="27.6" x14ac:dyDescent="0.3">
      <c r="A6" s="6">
        <v>1</v>
      </c>
      <c r="B6" s="9" t="s">
        <v>12</v>
      </c>
      <c r="C6" s="6">
        <v>48</v>
      </c>
      <c r="D6" s="6">
        <v>2.2200000000000002</v>
      </c>
      <c r="E6" s="6">
        <v>4.3333000000000004</v>
      </c>
      <c r="F6" s="14">
        <f t="shared" si="0"/>
        <v>461.75644800000003</v>
      </c>
      <c r="G6" s="282"/>
      <c r="H6" s="270"/>
      <c r="I6" s="283"/>
      <c r="J6" s="222"/>
      <c r="K6" s="9"/>
      <c r="L6" s="6"/>
      <c r="M6" s="6"/>
      <c r="N6" s="6">
        <v>4.3333000000000004</v>
      </c>
      <c r="O6" s="14">
        <f t="shared" si="1"/>
        <v>0</v>
      </c>
    </row>
    <row r="7" spans="1:15" x14ac:dyDescent="0.3">
      <c r="A7" s="6">
        <v>1</v>
      </c>
      <c r="B7" s="10" t="s">
        <v>14</v>
      </c>
      <c r="C7" s="6">
        <v>48</v>
      </c>
      <c r="D7" s="6">
        <v>2.62</v>
      </c>
      <c r="E7" s="6">
        <v>4.3333000000000004</v>
      </c>
      <c r="F7" s="14">
        <f t="shared" si="0"/>
        <v>544.95580800000005</v>
      </c>
      <c r="G7" s="282"/>
      <c r="H7" s="270"/>
      <c r="I7" s="283"/>
      <c r="J7" s="222"/>
      <c r="K7" s="10"/>
      <c r="L7" s="6"/>
      <c r="M7" s="6"/>
      <c r="N7" s="6">
        <v>4.3333000000000004</v>
      </c>
      <c r="O7" s="14">
        <f t="shared" si="1"/>
        <v>0</v>
      </c>
    </row>
    <row r="8" spans="1:15" x14ac:dyDescent="0.3">
      <c r="A8" s="6">
        <v>2</v>
      </c>
      <c r="B8" s="10" t="s">
        <v>14</v>
      </c>
      <c r="C8" s="6">
        <v>48</v>
      </c>
      <c r="D8" s="6">
        <v>2.4300000000000002</v>
      </c>
      <c r="E8" s="6">
        <v>4.3333000000000004</v>
      </c>
      <c r="F8" s="14">
        <f t="shared" si="0"/>
        <v>505.43611200000009</v>
      </c>
      <c r="G8" s="282"/>
      <c r="H8" s="270"/>
      <c r="I8" s="283"/>
      <c r="J8" s="222"/>
      <c r="K8" s="10"/>
      <c r="L8" s="6"/>
      <c r="M8" s="6"/>
      <c r="N8" s="6">
        <v>4.3333000000000004</v>
      </c>
      <c r="O8" s="14">
        <f t="shared" si="1"/>
        <v>0</v>
      </c>
    </row>
    <row r="9" spans="1:15" x14ac:dyDescent="0.3">
      <c r="A9" s="7">
        <v>1</v>
      </c>
      <c r="B9" s="10" t="s">
        <v>15</v>
      </c>
      <c r="C9" s="7">
        <v>45</v>
      </c>
      <c r="D9" s="12">
        <v>3.2</v>
      </c>
      <c r="E9" s="6">
        <v>4.3333000000000004</v>
      </c>
      <c r="F9" s="14">
        <f t="shared" si="0"/>
        <v>623.99520000000007</v>
      </c>
      <c r="G9" s="282"/>
      <c r="H9" s="270"/>
      <c r="I9" s="283"/>
      <c r="J9" s="223"/>
      <c r="K9" s="10"/>
      <c r="L9" s="7"/>
      <c r="M9" s="12"/>
      <c r="N9" s="6">
        <v>4.3333000000000004</v>
      </c>
      <c r="O9" s="14">
        <f t="shared" si="1"/>
        <v>0</v>
      </c>
    </row>
    <row r="10" spans="1:15" x14ac:dyDescent="0.3">
      <c r="A10" s="7">
        <v>2</v>
      </c>
      <c r="B10" s="10" t="s">
        <v>15</v>
      </c>
      <c r="C10" s="7">
        <v>45</v>
      </c>
      <c r="D10" s="7">
        <v>2.39</v>
      </c>
      <c r="E10" s="6">
        <v>4.3333000000000004</v>
      </c>
      <c r="F10" s="14">
        <f t="shared" si="0"/>
        <v>466.04641500000008</v>
      </c>
      <c r="G10" s="282"/>
      <c r="H10" s="270"/>
      <c r="I10" s="283"/>
      <c r="J10" s="223"/>
      <c r="K10" s="10"/>
      <c r="L10" s="7"/>
      <c r="M10" s="7"/>
      <c r="N10" s="6">
        <v>4.3333000000000004</v>
      </c>
      <c r="O10" s="14">
        <f t="shared" si="1"/>
        <v>0</v>
      </c>
    </row>
    <row r="11" spans="1:15" x14ac:dyDescent="0.3">
      <c r="A11" s="7">
        <v>1</v>
      </c>
      <c r="B11" s="10" t="s">
        <v>19</v>
      </c>
      <c r="C11" s="7">
        <v>35</v>
      </c>
      <c r="D11" s="7">
        <v>3.25</v>
      </c>
      <c r="E11" s="6">
        <v>4.3333000000000004</v>
      </c>
      <c r="F11" s="14">
        <f t="shared" si="0"/>
        <v>492.91287500000004</v>
      </c>
      <c r="G11" s="282"/>
      <c r="H11" s="270"/>
      <c r="I11" s="283"/>
      <c r="J11" s="223"/>
      <c r="K11" s="10"/>
      <c r="L11" s="7"/>
      <c r="M11" s="7"/>
      <c r="N11" s="6">
        <v>4.3333000000000004</v>
      </c>
      <c r="O11" s="14">
        <f t="shared" si="1"/>
        <v>0</v>
      </c>
    </row>
    <row r="12" spans="1:15" ht="15" thickBot="1" x14ac:dyDescent="0.35">
      <c r="A12" s="8">
        <v>2</v>
      </c>
      <c r="B12" s="11" t="s">
        <v>19</v>
      </c>
      <c r="C12" s="8">
        <v>35</v>
      </c>
      <c r="D12" s="8">
        <v>3.05</v>
      </c>
      <c r="E12" s="13">
        <v>4.3333000000000004</v>
      </c>
      <c r="F12" s="15">
        <f t="shared" si="0"/>
        <v>462.57977500000004</v>
      </c>
      <c r="G12" s="282"/>
      <c r="H12" s="270"/>
      <c r="I12" s="283"/>
      <c r="J12" s="224"/>
      <c r="K12" s="11"/>
      <c r="L12" s="8"/>
      <c r="M12" s="8"/>
      <c r="N12" s="13">
        <v>4.3333000000000004</v>
      </c>
      <c r="O12" s="15">
        <f t="shared" si="1"/>
        <v>0</v>
      </c>
    </row>
    <row r="13" spans="1:15" ht="26.25" customHeight="1" thickBot="1" x14ac:dyDescent="0.35">
      <c r="A13" s="271" t="s">
        <v>20</v>
      </c>
      <c r="B13" s="272"/>
      <c r="C13" s="272"/>
      <c r="D13" s="272"/>
      <c r="E13" s="272"/>
      <c r="F13" s="273"/>
      <c r="G13" s="282"/>
      <c r="H13" s="270"/>
      <c r="I13" s="283"/>
      <c r="J13" s="271" t="s">
        <v>20</v>
      </c>
      <c r="K13" s="272"/>
      <c r="L13" s="272"/>
      <c r="M13" s="272"/>
      <c r="N13" s="272"/>
      <c r="O13" s="273"/>
    </row>
    <row r="14" spans="1:15" x14ac:dyDescent="0.3">
      <c r="A14" s="280" t="s">
        <v>167</v>
      </c>
      <c r="B14" s="280"/>
      <c r="C14" s="280"/>
      <c r="D14" s="280"/>
      <c r="E14" s="280"/>
      <c r="F14" s="280"/>
      <c r="G14" s="3"/>
      <c r="H14" s="270"/>
      <c r="I14" s="283"/>
      <c r="J14" s="280" t="s">
        <v>167</v>
      </c>
      <c r="K14" s="280"/>
      <c r="L14" s="280"/>
      <c r="M14" s="280"/>
      <c r="N14" s="280"/>
      <c r="O14" s="280"/>
    </row>
    <row r="15" spans="1:15" ht="15" thickBot="1" x14ac:dyDescent="0.35">
      <c r="A15" s="281"/>
      <c r="B15" s="281"/>
      <c r="C15" s="281"/>
      <c r="D15" s="281"/>
      <c r="E15" s="281"/>
      <c r="F15" s="281"/>
      <c r="G15" s="3"/>
      <c r="H15" s="270"/>
      <c r="I15" s="283"/>
      <c r="J15" s="281"/>
      <c r="K15" s="281"/>
      <c r="L15" s="281"/>
      <c r="M15" s="281"/>
      <c r="N15" s="281"/>
      <c r="O15" s="281"/>
    </row>
    <row r="16" spans="1:15" ht="15" thickBot="1" x14ac:dyDescent="0.35">
      <c r="A16" s="274" t="s">
        <v>28</v>
      </c>
      <c r="B16" s="275"/>
      <c r="C16" s="275"/>
      <c r="D16" s="275"/>
      <c r="E16" s="275"/>
      <c r="F16" s="276"/>
      <c r="G16" s="282"/>
      <c r="H16" s="270"/>
      <c r="I16" s="283"/>
      <c r="J16" s="274" t="s">
        <v>28</v>
      </c>
      <c r="K16" s="275"/>
      <c r="L16" s="275"/>
      <c r="M16" s="275"/>
      <c r="N16" s="275"/>
      <c r="O16" s="276"/>
    </row>
    <row r="17" spans="1:15" ht="40.799999999999997" x14ac:dyDescent="0.3">
      <c r="A17" s="16" t="s">
        <v>0</v>
      </c>
      <c r="B17" s="17" t="s">
        <v>1</v>
      </c>
      <c r="C17" s="19" t="s">
        <v>24</v>
      </c>
      <c r="D17" s="17" t="s">
        <v>23</v>
      </c>
      <c r="E17" s="16" t="s">
        <v>25</v>
      </c>
      <c r="F17" s="17" t="s">
        <v>22</v>
      </c>
      <c r="G17" s="282"/>
      <c r="H17" s="270"/>
      <c r="I17" s="283"/>
      <c r="J17" s="221" t="s">
        <v>0</v>
      </c>
      <c r="K17" s="17" t="s">
        <v>1</v>
      </c>
      <c r="L17" s="19" t="s">
        <v>24</v>
      </c>
      <c r="M17" s="17" t="s">
        <v>23</v>
      </c>
      <c r="N17" s="16" t="s">
        <v>25</v>
      </c>
      <c r="O17" s="17" t="s">
        <v>22</v>
      </c>
    </row>
    <row r="18" spans="1:15" ht="27.6" x14ac:dyDescent="0.3">
      <c r="A18" s="6">
        <v>1</v>
      </c>
      <c r="B18" s="9" t="s">
        <v>13</v>
      </c>
      <c r="C18" s="20">
        <v>605.27534400000013</v>
      </c>
      <c r="D18" s="6">
        <v>48</v>
      </c>
      <c r="E18" s="6">
        <v>4.3333000000000004</v>
      </c>
      <c r="F18" s="14">
        <f>C18/D18/E18</f>
        <v>2.9100000000000006</v>
      </c>
      <c r="G18" s="282"/>
      <c r="H18" s="270"/>
      <c r="I18" s="283"/>
      <c r="J18" s="222">
        <v>1</v>
      </c>
      <c r="K18" s="9" t="s">
        <v>180</v>
      </c>
      <c r="L18" s="20"/>
      <c r="M18" s="6"/>
      <c r="N18" s="6">
        <v>4.3333000000000004</v>
      </c>
      <c r="O18" s="14" t="e">
        <f>L18/M18/N18</f>
        <v>#DIV/0!</v>
      </c>
    </row>
    <row r="19" spans="1:15" ht="27.6" x14ac:dyDescent="0.3">
      <c r="A19" s="6">
        <v>1</v>
      </c>
      <c r="B19" s="9" t="s">
        <v>12</v>
      </c>
      <c r="C19" s="20">
        <v>461.75644800000003</v>
      </c>
      <c r="D19" s="6">
        <v>48</v>
      </c>
      <c r="E19" s="6">
        <v>4.3333000000000004</v>
      </c>
      <c r="F19" s="14">
        <f t="shared" ref="F19:F25" si="2">C19/D19/E19</f>
        <v>2.2200000000000002</v>
      </c>
      <c r="G19" s="282"/>
      <c r="H19" s="270"/>
      <c r="I19" s="283"/>
      <c r="J19" s="222"/>
      <c r="K19" s="9"/>
      <c r="L19" s="20"/>
      <c r="M19" s="6"/>
      <c r="N19" s="6">
        <v>4.3333000000000004</v>
      </c>
      <c r="O19" s="14" t="e">
        <f t="shared" ref="O19:O25" si="3">L19/M19/N19</f>
        <v>#DIV/0!</v>
      </c>
    </row>
    <row r="20" spans="1:15" x14ac:dyDescent="0.3">
      <c r="A20" s="6">
        <v>1</v>
      </c>
      <c r="B20" s="10" t="s">
        <v>14</v>
      </c>
      <c r="C20" s="20">
        <v>544.95580800000005</v>
      </c>
      <c r="D20" s="6">
        <v>48</v>
      </c>
      <c r="E20" s="6">
        <v>4.3333000000000004</v>
      </c>
      <c r="F20" s="14">
        <f t="shared" si="2"/>
        <v>2.6199999999999997</v>
      </c>
      <c r="G20" s="282"/>
      <c r="H20" s="270"/>
      <c r="I20" s="283"/>
      <c r="J20" s="222"/>
      <c r="K20" s="10"/>
      <c r="L20" s="20"/>
      <c r="M20" s="6"/>
      <c r="N20" s="6">
        <v>4.3333000000000004</v>
      </c>
      <c r="O20" s="14" t="e">
        <f t="shared" si="3"/>
        <v>#DIV/0!</v>
      </c>
    </row>
    <row r="21" spans="1:15" x14ac:dyDescent="0.3">
      <c r="A21" s="6">
        <v>2</v>
      </c>
      <c r="B21" s="10" t="s">
        <v>14</v>
      </c>
      <c r="C21" s="20">
        <v>505.43611200000009</v>
      </c>
      <c r="D21" s="6">
        <v>48</v>
      </c>
      <c r="E21" s="6">
        <v>4.3333000000000004</v>
      </c>
      <c r="F21" s="14">
        <f t="shared" si="2"/>
        <v>2.4300000000000002</v>
      </c>
      <c r="G21" s="282"/>
      <c r="H21" s="270"/>
      <c r="I21" s="283"/>
      <c r="J21" s="222"/>
      <c r="K21" s="10"/>
      <c r="L21" s="20"/>
      <c r="M21" s="6"/>
      <c r="N21" s="6">
        <v>4.3333000000000004</v>
      </c>
      <c r="O21" s="14" t="e">
        <f t="shared" si="3"/>
        <v>#DIV/0!</v>
      </c>
    </row>
    <row r="22" spans="1:15" x14ac:dyDescent="0.3">
      <c r="A22" s="7">
        <v>1</v>
      </c>
      <c r="B22" s="10" t="s">
        <v>15</v>
      </c>
      <c r="C22" s="12">
        <v>623.99520000000007</v>
      </c>
      <c r="D22" s="7">
        <v>45</v>
      </c>
      <c r="E22" s="6">
        <v>4.3333000000000004</v>
      </c>
      <c r="F22" s="14">
        <f t="shared" si="2"/>
        <v>3.2</v>
      </c>
      <c r="G22" s="282"/>
      <c r="H22" s="270"/>
      <c r="I22" s="283"/>
      <c r="J22" s="223"/>
      <c r="K22" s="10"/>
      <c r="L22" s="12"/>
      <c r="M22" s="7"/>
      <c r="N22" s="6">
        <v>4.3333000000000004</v>
      </c>
      <c r="O22" s="14" t="e">
        <f t="shared" si="3"/>
        <v>#DIV/0!</v>
      </c>
    </row>
    <row r="23" spans="1:15" x14ac:dyDescent="0.3">
      <c r="A23" s="7">
        <v>2</v>
      </c>
      <c r="B23" s="10" t="s">
        <v>15</v>
      </c>
      <c r="C23" s="12">
        <v>466.04641500000008</v>
      </c>
      <c r="D23" s="7">
        <v>45</v>
      </c>
      <c r="E23" s="6">
        <v>4.3333000000000004</v>
      </c>
      <c r="F23" s="14">
        <f t="shared" si="2"/>
        <v>2.39</v>
      </c>
      <c r="G23" s="282"/>
      <c r="H23" s="270"/>
      <c r="I23" s="283"/>
      <c r="J23" s="223"/>
      <c r="K23" s="10"/>
      <c r="L23" s="12"/>
      <c r="M23" s="7"/>
      <c r="N23" s="6">
        <v>4.3333000000000004</v>
      </c>
      <c r="O23" s="14" t="e">
        <f t="shared" si="3"/>
        <v>#DIV/0!</v>
      </c>
    </row>
    <row r="24" spans="1:15" x14ac:dyDescent="0.3">
      <c r="A24" s="7">
        <v>1</v>
      </c>
      <c r="B24" s="10" t="s">
        <v>19</v>
      </c>
      <c r="C24" s="12">
        <v>492.91287500000004</v>
      </c>
      <c r="D24" s="7">
        <v>35</v>
      </c>
      <c r="E24" s="6">
        <v>4.3333000000000004</v>
      </c>
      <c r="F24" s="14">
        <f t="shared" si="2"/>
        <v>3.25</v>
      </c>
      <c r="G24" s="282"/>
      <c r="H24" s="270"/>
      <c r="I24" s="283"/>
      <c r="J24" s="223"/>
      <c r="K24" s="10"/>
      <c r="L24" s="12"/>
      <c r="M24" s="7"/>
      <c r="N24" s="6">
        <v>4.3333000000000004</v>
      </c>
      <c r="O24" s="14" t="e">
        <f t="shared" si="3"/>
        <v>#DIV/0!</v>
      </c>
    </row>
    <row r="25" spans="1:15" ht="15" thickBot="1" x14ac:dyDescent="0.35">
      <c r="A25" s="8">
        <v>2</v>
      </c>
      <c r="B25" s="11" t="s">
        <v>19</v>
      </c>
      <c r="C25" s="21">
        <v>462.57977500000004</v>
      </c>
      <c r="D25" s="8">
        <v>35</v>
      </c>
      <c r="E25" s="13">
        <v>4.3333000000000004</v>
      </c>
      <c r="F25" s="14">
        <f t="shared" si="2"/>
        <v>3.05</v>
      </c>
      <c r="G25" s="282"/>
      <c r="H25" s="270"/>
      <c r="I25" s="283"/>
      <c r="J25" s="224"/>
      <c r="K25" s="11"/>
      <c r="L25" s="21"/>
      <c r="M25" s="8"/>
      <c r="N25" s="13">
        <v>4.3333000000000004</v>
      </c>
      <c r="O25" s="14" t="e">
        <f t="shared" si="3"/>
        <v>#DIV/0!</v>
      </c>
    </row>
    <row r="26" spans="1:15" ht="15" thickBot="1" x14ac:dyDescent="0.35">
      <c r="B26" s="270"/>
      <c r="C26" s="270"/>
      <c r="D26" s="2"/>
      <c r="E26" s="2"/>
      <c r="F26" s="4"/>
      <c r="H26" s="270"/>
      <c r="I26" s="283"/>
      <c r="K26" s="270"/>
      <c r="L26" s="270"/>
      <c r="M26" s="2"/>
      <c r="N26" s="2"/>
      <c r="O26" s="4"/>
    </row>
    <row r="27" spans="1:15" ht="15" thickBot="1" x14ac:dyDescent="0.35">
      <c r="A27" s="274" t="s">
        <v>21</v>
      </c>
      <c r="B27" s="275"/>
      <c r="C27" s="275"/>
      <c r="D27" s="275"/>
      <c r="E27" s="275"/>
      <c r="F27" s="275"/>
      <c r="G27" s="275"/>
      <c r="H27" s="270"/>
      <c r="I27" s="283"/>
    </row>
    <row r="28" spans="1:15" ht="29.4" thickBot="1" x14ac:dyDescent="0.35">
      <c r="A28" s="31" t="s">
        <v>0</v>
      </c>
      <c r="B28" s="26" t="s">
        <v>1</v>
      </c>
      <c r="C28" s="26" t="s">
        <v>10</v>
      </c>
      <c r="D28" s="32" t="s">
        <v>26</v>
      </c>
      <c r="E28" s="32" t="s">
        <v>29</v>
      </c>
      <c r="F28" s="26" t="s">
        <v>27</v>
      </c>
      <c r="G28" s="219" t="s">
        <v>9</v>
      </c>
      <c r="H28" s="270"/>
      <c r="I28" s="283"/>
      <c r="J28" s="225" t="s">
        <v>0</v>
      </c>
      <c r="K28" s="26" t="s">
        <v>1</v>
      </c>
      <c r="L28" s="26" t="s">
        <v>10</v>
      </c>
      <c r="M28" s="32" t="s">
        <v>26</v>
      </c>
      <c r="N28" s="32" t="s">
        <v>29</v>
      </c>
      <c r="O28" s="26" t="s">
        <v>27</v>
      </c>
    </row>
    <row r="29" spans="1:15" ht="27.6" x14ac:dyDescent="0.3">
      <c r="A29" s="22">
        <v>1</v>
      </c>
      <c r="B29" s="23" t="s">
        <v>13</v>
      </c>
      <c r="C29" s="24">
        <v>605.27534400000013</v>
      </c>
      <c r="D29" s="25">
        <v>12</v>
      </c>
      <c r="E29" s="25">
        <v>52</v>
      </c>
      <c r="F29" s="27">
        <v>48</v>
      </c>
      <c r="G29" s="220">
        <f>C29*D29/E29/F29</f>
        <v>2.9099776153846157</v>
      </c>
      <c r="H29" s="270"/>
      <c r="I29" s="283"/>
      <c r="J29" s="226"/>
      <c r="K29" s="23"/>
      <c r="L29" s="24"/>
      <c r="M29" s="25">
        <v>12</v>
      </c>
      <c r="N29" s="25">
        <v>52</v>
      </c>
      <c r="O29" s="27">
        <v>48</v>
      </c>
    </row>
    <row r="30" spans="1:15" ht="27.6" x14ac:dyDescent="0.3">
      <c r="A30" s="6">
        <v>1</v>
      </c>
      <c r="B30" s="9" t="s">
        <v>12</v>
      </c>
      <c r="C30" s="20">
        <v>461.75644800000003</v>
      </c>
      <c r="D30" s="7">
        <v>12</v>
      </c>
      <c r="E30" s="7">
        <v>52</v>
      </c>
      <c r="F30" s="28">
        <v>48</v>
      </c>
      <c r="G30" s="220">
        <f t="shared" ref="G30:G36" si="4">C30*D30/E30/F30</f>
        <v>2.2199829230769232</v>
      </c>
      <c r="H30" s="270"/>
      <c r="I30" s="283"/>
      <c r="J30" s="222"/>
      <c r="K30" s="9"/>
      <c r="L30" s="20"/>
      <c r="M30" s="7">
        <v>12</v>
      </c>
      <c r="N30" s="7">
        <v>52</v>
      </c>
      <c r="O30" s="28">
        <v>48</v>
      </c>
    </row>
    <row r="31" spans="1:15" x14ac:dyDescent="0.3">
      <c r="A31" s="6">
        <v>1</v>
      </c>
      <c r="B31" s="10" t="s">
        <v>14</v>
      </c>
      <c r="C31" s="20">
        <v>544.95580800000005</v>
      </c>
      <c r="D31" s="7">
        <v>12</v>
      </c>
      <c r="E31" s="7">
        <v>52</v>
      </c>
      <c r="F31" s="28">
        <v>48</v>
      </c>
      <c r="G31" s="220">
        <f t="shared" si="4"/>
        <v>2.6199798461538459</v>
      </c>
      <c r="H31" s="270"/>
      <c r="I31" s="283"/>
      <c r="J31" s="222"/>
      <c r="K31" s="10"/>
      <c r="L31" s="20"/>
      <c r="M31" s="7">
        <v>12</v>
      </c>
      <c r="N31" s="7">
        <v>52</v>
      </c>
      <c r="O31" s="28">
        <v>48</v>
      </c>
    </row>
    <row r="32" spans="1:15" x14ac:dyDescent="0.3">
      <c r="A32" s="6">
        <v>2</v>
      </c>
      <c r="B32" s="10" t="s">
        <v>14</v>
      </c>
      <c r="C32" s="20">
        <v>505.43611200000009</v>
      </c>
      <c r="D32" s="7">
        <v>12</v>
      </c>
      <c r="E32" s="7">
        <v>52</v>
      </c>
      <c r="F32" s="28">
        <v>48</v>
      </c>
      <c r="G32" s="220">
        <f t="shared" si="4"/>
        <v>2.4299813076923082</v>
      </c>
      <c r="H32" s="270"/>
      <c r="I32" s="283"/>
      <c r="J32" s="222"/>
      <c r="K32" s="10"/>
      <c r="L32" s="20"/>
      <c r="M32" s="7">
        <v>12</v>
      </c>
      <c r="N32" s="7">
        <v>52</v>
      </c>
      <c r="O32" s="28">
        <v>48</v>
      </c>
    </row>
    <row r="33" spans="1:16" x14ac:dyDescent="0.3">
      <c r="A33" s="7">
        <v>1</v>
      </c>
      <c r="B33" s="10" t="s">
        <v>15</v>
      </c>
      <c r="C33" s="12">
        <v>623.99520000000007</v>
      </c>
      <c r="D33" s="7">
        <v>12</v>
      </c>
      <c r="E33" s="7">
        <v>52</v>
      </c>
      <c r="F33" s="29">
        <v>45</v>
      </c>
      <c r="G33" s="220">
        <f t="shared" si="4"/>
        <v>3.1999753846153851</v>
      </c>
      <c r="H33" s="270"/>
      <c r="I33" s="283"/>
      <c r="J33" s="223"/>
      <c r="K33" s="10"/>
      <c r="L33" s="12"/>
      <c r="M33" s="7">
        <v>12</v>
      </c>
      <c r="N33" s="7">
        <v>52</v>
      </c>
      <c r="O33" s="29">
        <v>45</v>
      </c>
    </row>
    <row r="34" spans="1:16" x14ac:dyDescent="0.3">
      <c r="A34" s="7">
        <v>2</v>
      </c>
      <c r="B34" s="10" t="s">
        <v>15</v>
      </c>
      <c r="C34" s="12">
        <v>466.04641500000008</v>
      </c>
      <c r="D34" s="7">
        <v>12</v>
      </c>
      <c r="E34" s="7">
        <v>52</v>
      </c>
      <c r="F34" s="29">
        <v>45</v>
      </c>
      <c r="G34" s="220">
        <f t="shared" si="4"/>
        <v>2.3899816153846158</v>
      </c>
      <c r="H34" s="270"/>
      <c r="I34" s="283"/>
      <c r="J34" s="223"/>
      <c r="K34" s="10"/>
      <c r="L34" s="12"/>
      <c r="M34" s="7">
        <v>12</v>
      </c>
      <c r="N34" s="7">
        <v>52</v>
      </c>
      <c r="O34" s="29">
        <v>45</v>
      </c>
    </row>
    <row r="35" spans="1:16" x14ac:dyDescent="0.3">
      <c r="A35" s="7">
        <v>1</v>
      </c>
      <c r="B35" s="10" t="s">
        <v>19</v>
      </c>
      <c r="C35" s="12">
        <v>492.91287500000004</v>
      </c>
      <c r="D35" s="7">
        <v>12</v>
      </c>
      <c r="E35" s="7">
        <v>52</v>
      </c>
      <c r="F35" s="29">
        <v>35</v>
      </c>
      <c r="G35" s="220">
        <f t="shared" si="4"/>
        <v>3.2499750000000005</v>
      </c>
      <c r="H35" s="270"/>
      <c r="I35" s="283"/>
      <c r="J35" s="223"/>
      <c r="K35" s="10"/>
      <c r="L35" s="12"/>
      <c r="M35" s="7">
        <v>12</v>
      </c>
      <c r="N35" s="7">
        <v>52</v>
      </c>
      <c r="O35" s="29">
        <v>35</v>
      </c>
    </row>
    <row r="36" spans="1:16" ht="15" thickBot="1" x14ac:dyDescent="0.35">
      <c r="A36" s="8">
        <v>2</v>
      </c>
      <c r="B36" s="11" t="s">
        <v>19</v>
      </c>
      <c r="C36" s="21">
        <v>462.57977500000004</v>
      </c>
      <c r="D36" s="8">
        <v>12</v>
      </c>
      <c r="E36" s="8">
        <v>52</v>
      </c>
      <c r="F36" s="30">
        <v>35</v>
      </c>
      <c r="G36" s="220">
        <f t="shared" si="4"/>
        <v>3.0499765384615385</v>
      </c>
      <c r="H36" s="270"/>
      <c r="I36" s="283"/>
      <c r="J36" s="227"/>
      <c r="K36" s="224"/>
      <c r="L36" s="11"/>
      <c r="M36" s="21"/>
      <c r="N36" s="8">
        <v>12</v>
      </c>
      <c r="O36" s="8">
        <v>52</v>
      </c>
      <c r="P36" s="30">
        <v>35</v>
      </c>
    </row>
    <row r="37" spans="1:16" x14ac:dyDescent="0.3">
      <c r="G37" s="1"/>
      <c r="H37" s="1"/>
      <c r="I37" s="1"/>
    </row>
    <row r="38" spans="1:16" x14ac:dyDescent="0.3">
      <c r="G38" s="1"/>
      <c r="H38" s="1"/>
      <c r="I38" s="1"/>
    </row>
    <row r="39" spans="1:16" x14ac:dyDescent="0.3">
      <c r="G39" s="1"/>
      <c r="H39" s="1"/>
      <c r="I39" s="1"/>
    </row>
    <row r="40" spans="1:16" x14ac:dyDescent="0.3">
      <c r="G40" s="1"/>
      <c r="H40" s="1"/>
      <c r="I40" s="1"/>
    </row>
    <row r="41" spans="1:16" x14ac:dyDescent="0.3">
      <c r="G41" s="1"/>
      <c r="H41" s="1"/>
      <c r="I41" s="1"/>
    </row>
    <row r="42" spans="1:16" x14ac:dyDescent="0.3">
      <c r="G42" s="1"/>
      <c r="H42" s="1"/>
      <c r="I42" s="1"/>
    </row>
    <row r="43" spans="1:16" x14ac:dyDescent="0.3">
      <c r="G43" s="1"/>
      <c r="H43" s="1"/>
      <c r="I43" s="1"/>
    </row>
    <row r="44" spans="1:16" x14ac:dyDescent="0.3">
      <c r="G44" s="1"/>
      <c r="H44" s="1"/>
      <c r="I44" s="1"/>
    </row>
    <row r="45" spans="1:16" x14ac:dyDescent="0.3">
      <c r="G45" s="1"/>
      <c r="H45" s="1"/>
      <c r="I45" s="1"/>
    </row>
    <row r="46" spans="1:16" x14ac:dyDescent="0.3">
      <c r="G46" s="1"/>
      <c r="H46" s="1"/>
      <c r="I46" s="1"/>
    </row>
    <row r="47" spans="1:16" x14ac:dyDescent="0.3">
      <c r="G47" s="1"/>
      <c r="H47" s="1"/>
      <c r="I47" s="1"/>
    </row>
    <row r="48" spans="1:16" x14ac:dyDescent="0.3">
      <c r="G48" s="1"/>
      <c r="H48" s="1"/>
      <c r="I48" s="1"/>
    </row>
    <row r="49" spans="7:9" x14ac:dyDescent="0.3">
      <c r="G49" s="1"/>
      <c r="H49" s="1"/>
      <c r="I49" s="1"/>
    </row>
    <row r="50" spans="7:9" x14ac:dyDescent="0.3">
      <c r="G50" s="1"/>
      <c r="H50" s="1"/>
      <c r="I50" s="1"/>
    </row>
    <row r="51" spans="7:9" x14ac:dyDescent="0.3">
      <c r="G51" s="1"/>
      <c r="H51" s="1"/>
      <c r="I51" s="1"/>
    </row>
    <row r="52" spans="7:9" x14ac:dyDescent="0.3">
      <c r="G52" s="1"/>
      <c r="H52" s="1"/>
      <c r="I52" s="1"/>
    </row>
    <row r="53" spans="7:9" x14ac:dyDescent="0.3">
      <c r="G53" s="1"/>
      <c r="H53" s="1"/>
      <c r="I53" s="1"/>
    </row>
    <row r="54" spans="7:9" x14ac:dyDescent="0.3">
      <c r="G54" s="1"/>
      <c r="H54" s="1"/>
      <c r="I54" s="1"/>
    </row>
    <row r="55" spans="7:9" x14ac:dyDescent="0.3">
      <c r="G55" s="1"/>
      <c r="H55" s="1"/>
      <c r="I55" s="1"/>
    </row>
    <row r="56" spans="7:9" x14ac:dyDescent="0.3">
      <c r="G56" s="1"/>
      <c r="H56" s="1"/>
      <c r="I56" s="1"/>
    </row>
    <row r="57" spans="7:9" x14ac:dyDescent="0.3">
      <c r="G57" s="1"/>
      <c r="H57" s="1"/>
      <c r="I57" s="1"/>
    </row>
    <row r="58" spans="7:9" x14ac:dyDescent="0.3">
      <c r="G58" s="1"/>
      <c r="H58" s="1"/>
      <c r="I58" s="1"/>
    </row>
    <row r="59" spans="7:9" x14ac:dyDescent="0.3">
      <c r="G59" s="1"/>
      <c r="H59" s="1"/>
      <c r="I59" s="1"/>
    </row>
    <row r="60" spans="7:9" x14ac:dyDescent="0.3">
      <c r="G60" s="1"/>
      <c r="H60" s="1"/>
      <c r="I60" s="1"/>
    </row>
    <row r="61" spans="7:9" x14ac:dyDescent="0.3">
      <c r="G61" s="1"/>
      <c r="H61" s="1"/>
      <c r="I61" s="1"/>
    </row>
    <row r="62" spans="7:9" x14ac:dyDescent="0.3">
      <c r="G62" s="1"/>
      <c r="H62" s="1"/>
      <c r="I62" s="1"/>
    </row>
    <row r="63" spans="7:9" x14ac:dyDescent="0.3">
      <c r="G63" s="1"/>
      <c r="H63" s="1"/>
      <c r="I63" s="1"/>
    </row>
    <row r="64" spans="7:9" x14ac:dyDescent="0.3">
      <c r="G64" s="1"/>
      <c r="H64" s="1"/>
      <c r="I64" s="1"/>
    </row>
    <row r="65" spans="7:9" x14ac:dyDescent="0.3">
      <c r="G65" s="1"/>
      <c r="H65" s="1"/>
      <c r="I65" s="1"/>
    </row>
    <row r="66" spans="7:9" x14ac:dyDescent="0.3">
      <c r="G66" s="1"/>
      <c r="H66" s="1"/>
      <c r="I66" s="1"/>
    </row>
    <row r="67" spans="7:9" x14ac:dyDescent="0.3">
      <c r="G67" s="1"/>
      <c r="H67" s="1"/>
      <c r="I67" s="1"/>
    </row>
    <row r="68" spans="7:9" x14ac:dyDescent="0.3">
      <c r="G68" s="1"/>
      <c r="H68" s="1"/>
      <c r="I68" s="1"/>
    </row>
    <row r="69" spans="7:9" x14ac:dyDescent="0.3">
      <c r="G69" s="1"/>
      <c r="H69" s="1"/>
      <c r="I69" s="1"/>
    </row>
    <row r="70" spans="7:9" x14ac:dyDescent="0.3">
      <c r="G70" s="1"/>
      <c r="H70" s="1"/>
      <c r="I70" s="1"/>
    </row>
    <row r="71" spans="7:9" x14ac:dyDescent="0.3">
      <c r="G71" s="1"/>
      <c r="H71" s="1"/>
      <c r="I71" s="1"/>
    </row>
    <row r="72" spans="7:9" x14ac:dyDescent="0.3">
      <c r="G72" s="1"/>
      <c r="H72" s="1"/>
      <c r="I72" s="1"/>
    </row>
    <row r="73" spans="7:9" x14ac:dyDescent="0.3">
      <c r="G73" s="1"/>
      <c r="H73" s="1"/>
      <c r="I73" s="1"/>
    </row>
    <row r="74" spans="7:9" x14ac:dyDescent="0.3">
      <c r="G74" s="1"/>
      <c r="H74" s="1"/>
      <c r="I74" s="1"/>
    </row>
    <row r="75" spans="7:9" x14ac:dyDescent="0.3">
      <c r="G75" s="1"/>
      <c r="H75" s="1"/>
      <c r="I75" s="1"/>
    </row>
    <row r="76" spans="7:9" x14ac:dyDescent="0.3">
      <c r="G76" s="1"/>
      <c r="H76" s="1"/>
      <c r="I76" s="1"/>
    </row>
    <row r="77" spans="7:9" x14ac:dyDescent="0.3">
      <c r="G77" s="1"/>
      <c r="H77" s="1"/>
      <c r="I77" s="1"/>
    </row>
    <row r="78" spans="7:9" x14ac:dyDescent="0.3">
      <c r="G78" s="1"/>
      <c r="H78" s="1"/>
      <c r="I78" s="1"/>
    </row>
  </sheetData>
  <mergeCells count="21">
    <mergeCell ref="J15:O15"/>
    <mergeCell ref="J16:O16"/>
    <mergeCell ref="K26:L26"/>
    <mergeCell ref="I1:I36"/>
    <mergeCell ref="H1:H36"/>
    <mergeCell ref="J1:O1"/>
    <mergeCell ref="J2:O2"/>
    <mergeCell ref="J3:O3"/>
    <mergeCell ref="J13:O13"/>
    <mergeCell ref="J14:O14"/>
    <mergeCell ref="A27:G27"/>
    <mergeCell ref="A3:F3"/>
    <mergeCell ref="A14:F14"/>
    <mergeCell ref="A15:F15"/>
    <mergeCell ref="G3:G13"/>
    <mergeCell ref="G16:G25"/>
    <mergeCell ref="A1:F1"/>
    <mergeCell ref="A2:F2"/>
    <mergeCell ref="B26:C26"/>
    <mergeCell ref="A13:F13"/>
    <mergeCell ref="A16:F16"/>
  </mergeCells>
  <pageMargins left="0.7" right="0.7" top="0.75" bottom="0.75" header="0.3" footer="0.3"/>
  <pageSetup paperSize="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BF3A-88DD-4AFA-A58D-F80CA1374D84}">
  <sheetPr>
    <tabColor rgb="FF002060"/>
  </sheetPr>
  <dimension ref="A1:G27"/>
  <sheetViews>
    <sheetView workbookViewId="0">
      <selection activeCell="F4" sqref="F4"/>
    </sheetView>
  </sheetViews>
  <sheetFormatPr baseColWidth="10" defaultColWidth="11.44140625" defaultRowHeight="18" x14ac:dyDescent="0.35"/>
  <cols>
    <col min="1" max="1" width="40.88671875" style="33" customWidth="1"/>
    <col min="2" max="2" width="29.109375" style="33" customWidth="1"/>
    <col min="3" max="3" width="4.44140625" style="33" customWidth="1"/>
    <col min="4" max="4" width="39.88671875" style="33" customWidth="1"/>
    <col min="5" max="5" width="19.44140625" style="34" customWidth="1"/>
    <col min="6" max="6" width="22.5546875" style="33" customWidth="1"/>
    <col min="7" max="7" width="24.33203125" style="33" customWidth="1"/>
    <col min="8" max="8" width="14.6640625" style="33" customWidth="1"/>
    <col min="9" max="9" width="17" style="33" customWidth="1"/>
    <col min="10" max="16384" width="11.44140625" style="33"/>
  </cols>
  <sheetData>
    <row r="1" spans="1:6" x14ac:dyDescent="0.35">
      <c r="A1" s="286" t="s">
        <v>59</v>
      </c>
      <c r="B1" s="287"/>
      <c r="C1" s="35"/>
      <c r="D1" s="291"/>
      <c r="E1" s="291"/>
      <c r="F1" s="291"/>
    </row>
    <row r="2" spans="1:6" ht="18.600000000000001" thickBot="1" x14ac:dyDescent="0.4">
      <c r="A2" s="288" t="s">
        <v>11</v>
      </c>
      <c r="B2" s="289"/>
      <c r="C2" s="34"/>
      <c r="D2" s="290" t="s">
        <v>62</v>
      </c>
      <c r="E2" s="290"/>
      <c r="F2" s="290"/>
    </row>
    <row r="3" spans="1:6" x14ac:dyDescent="0.35">
      <c r="A3" s="81" t="s">
        <v>3</v>
      </c>
      <c r="B3" s="79" t="s">
        <v>7</v>
      </c>
      <c r="C3" s="34"/>
      <c r="D3" s="87" t="s">
        <v>10</v>
      </c>
      <c r="E3" s="202"/>
      <c r="F3" s="240">
        <v>644.79999999999995</v>
      </c>
    </row>
    <row r="4" spans="1:6" x14ac:dyDescent="0.35">
      <c r="A4" s="82" t="s">
        <v>4</v>
      </c>
      <c r="B4" s="80">
        <v>9.7500000000000003E-2</v>
      </c>
      <c r="C4" s="34"/>
      <c r="D4" s="94"/>
      <c r="E4" s="202"/>
      <c r="F4" s="239"/>
    </row>
    <row r="5" spans="1:6" x14ac:dyDescent="0.35">
      <c r="A5" s="82" t="s">
        <v>5</v>
      </c>
      <c r="B5" s="80">
        <v>1.2500000000000001E-2</v>
      </c>
      <c r="C5" s="34"/>
      <c r="D5" s="88" t="s">
        <v>4</v>
      </c>
      <c r="E5" s="234">
        <v>1.2500000000000001E-2</v>
      </c>
      <c r="F5" s="89">
        <f>F3*E5</f>
        <v>8.06</v>
      </c>
    </row>
    <row r="6" spans="1:6" x14ac:dyDescent="0.35">
      <c r="A6" s="228" t="s">
        <v>60</v>
      </c>
      <c r="B6" s="229"/>
      <c r="C6" s="34"/>
      <c r="D6" s="88" t="s">
        <v>5</v>
      </c>
      <c r="E6" s="234">
        <v>9.7500000000000003E-2</v>
      </c>
      <c r="F6" s="89">
        <f>F3*E6</f>
        <v>62.867999999999995</v>
      </c>
    </row>
    <row r="7" spans="1:6" ht="54" x14ac:dyDescent="0.35">
      <c r="A7" s="84" t="s">
        <v>61</v>
      </c>
      <c r="B7" s="229"/>
      <c r="D7" s="88" t="s">
        <v>168</v>
      </c>
      <c r="E7" s="234"/>
      <c r="F7" s="89">
        <f>SUM(F5:F6)</f>
        <v>70.927999999999997</v>
      </c>
    </row>
    <row r="8" spans="1:6" ht="18.600000000000001" thickBot="1" x14ac:dyDescent="0.4">
      <c r="A8" s="85"/>
      <c r="B8" s="230"/>
      <c r="D8" s="233" t="s">
        <v>60</v>
      </c>
      <c r="E8" s="202"/>
      <c r="F8" s="89"/>
    </row>
    <row r="9" spans="1:6" ht="54" x14ac:dyDescent="0.35">
      <c r="D9" s="90" t="s">
        <v>61</v>
      </c>
      <c r="E9" s="235"/>
      <c r="F9" s="92"/>
    </row>
    <row r="10" spans="1:6" ht="18.600000000000001" thickBot="1" x14ac:dyDescent="0.4">
      <c r="A10" s="284"/>
      <c r="B10" s="284"/>
      <c r="D10" s="236" t="s">
        <v>136</v>
      </c>
      <c r="E10" s="237"/>
      <c r="F10" s="238">
        <f>F7+F8+F9</f>
        <v>70.927999999999997</v>
      </c>
    </row>
    <row r="11" spans="1:6" ht="18.600000000000001" thickBot="1" x14ac:dyDescent="0.4">
      <c r="A11" s="52"/>
      <c r="B11" s="203"/>
      <c r="C11" s="36"/>
      <c r="D11" s="241" t="s">
        <v>169</v>
      </c>
      <c r="E11" s="242"/>
      <c r="F11" s="243">
        <f>F3-F10</f>
        <v>573.87199999999996</v>
      </c>
    </row>
    <row r="12" spans="1:6" x14ac:dyDescent="0.35">
      <c r="B12" s="231"/>
      <c r="D12" s="86"/>
    </row>
    <row r="13" spans="1:6" ht="18.600000000000001" thickBot="1" x14ac:dyDescent="0.4">
      <c r="B13" s="231"/>
      <c r="D13" s="290" t="s">
        <v>63</v>
      </c>
      <c r="E13" s="290"/>
      <c r="F13" s="290"/>
    </row>
    <row r="14" spans="1:6" x14ac:dyDescent="0.35">
      <c r="B14" s="98"/>
      <c r="D14" s="87" t="s">
        <v>134</v>
      </c>
      <c r="E14" s="202"/>
      <c r="F14" s="240">
        <f>F3/2</f>
        <v>322.39999999999998</v>
      </c>
    </row>
    <row r="15" spans="1:6" x14ac:dyDescent="0.35">
      <c r="A15" s="86"/>
      <c r="D15" s="94"/>
      <c r="E15" s="202"/>
      <c r="F15" s="239"/>
    </row>
    <row r="16" spans="1:6" x14ac:dyDescent="0.35">
      <c r="A16" s="232"/>
      <c r="D16" s="88" t="s">
        <v>4</v>
      </c>
      <c r="E16" s="234">
        <v>1.2500000000000001E-2</v>
      </c>
      <c r="F16" s="89">
        <f>F14*E16</f>
        <v>4.03</v>
      </c>
    </row>
    <row r="17" spans="1:7" x14ac:dyDescent="0.35">
      <c r="A17" s="86"/>
      <c r="D17" s="88" t="s">
        <v>5</v>
      </c>
      <c r="E17" s="234">
        <v>9.7500000000000003E-2</v>
      </c>
      <c r="F17" s="89">
        <f>F14*E17</f>
        <v>31.433999999999997</v>
      </c>
    </row>
    <row r="18" spans="1:7" x14ac:dyDescent="0.35">
      <c r="A18" s="86"/>
      <c r="D18" s="88" t="s">
        <v>168</v>
      </c>
      <c r="E18" s="234"/>
      <c r="F18" s="89">
        <f>SUM(F16:F17)</f>
        <v>35.463999999999999</v>
      </c>
    </row>
    <row r="19" spans="1:7" x14ac:dyDescent="0.35">
      <c r="D19" s="233" t="s">
        <v>60</v>
      </c>
      <c r="E19" s="202"/>
      <c r="F19" s="89"/>
    </row>
    <row r="20" spans="1:7" ht="54" x14ac:dyDescent="0.35">
      <c r="A20" s="284"/>
      <c r="B20" s="284"/>
      <c r="D20" s="90" t="s">
        <v>61</v>
      </c>
      <c r="E20" s="235"/>
      <c r="F20" s="92"/>
    </row>
    <row r="21" spans="1:7" ht="18.600000000000001" thickBot="1" x14ac:dyDescent="0.4">
      <c r="A21" s="52"/>
      <c r="B21" s="98"/>
      <c r="D21" s="236" t="s">
        <v>136</v>
      </c>
      <c r="E21" s="237"/>
      <c r="F21" s="238">
        <f>F18+F19+F20</f>
        <v>35.463999999999999</v>
      </c>
    </row>
    <row r="22" spans="1:7" ht="18.600000000000001" thickBot="1" x14ac:dyDescent="0.4">
      <c r="B22" s="231"/>
      <c r="D22" s="241" t="s">
        <v>169</v>
      </c>
      <c r="E22" s="242"/>
      <c r="F22" s="243">
        <f>F14-F21</f>
        <v>286.93599999999998</v>
      </c>
    </row>
    <row r="23" spans="1:7" x14ac:dyDescent="0.35">
      <c r="B23" s="231"/>
      <c r="D23" s="52"/>
      <c r="E23" s="285"/>
      <c r="F23" s="285"/>
    </row>
    <row r="24" spans="1:7" x14ac:dyDescent="0.35">
      <c r="B24" s="98"/>
    </row>
    <row r="25" spans="1:7" x14ac:dyDescent="0.35">
      <c r="A25" s="86"/>
      <c r="G25" s="98"/>
    </row>
    <row r="26" spans="1:7" x14ac:dyDescent="0.35">
      <c r="A26" s="232"/>
    </row>
    <row r="27" spans="1:7" x14ac:dyDescent="0.35">
      <c r="D27" s="86"/>
    </row>
  </sheetData>
  <mergeCells count="8">
    <mergeCell ref="A20:B20"/>
    <mergeCell ref="E23:F23"/>
    <mergeCell ref="A1:B1"/>
    <mergeCell ref="A2:B2"/>
    <mergeCell ref="A10:B10"/>
    <mergeCell ref="D2:F2"/>
    <mergeCell ref="D1:F1"/>
    <mergeCell ref="D13:F13"/>
  </mergeCells>
  <pageMargins left="0.7" right="0.7" top="0.75" bottom="0.75" header="0.3" footer="0.3"/>
  <pageSetup orientation="portrait" horizontalDpi="4294967293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86C4-0601-4E5A-9DA4-34AE156C9941}">
  <sheetPr>
    <tabColor rgb="FFC00000"/>
  </sheetPr>
  <dimension ref="A1:I25"/>
  <sheetViews>
    <sheetView workbookViewId="0">
      <selection activeCell="F3" sqref="F3"/>
    </sheetView>
  </sheetViews>
  <sheetFormatPr baseColWidth="10" defaultColWidth="11.44140625" defaultRowHeight="18" x14ac:dyDescent="0.35"/>
  <cols>
    <col min="1" max="1" width="40.88671875" style="33" customWidth="1"/>
    <col min="2" max="2" width="29.109375" style="33" customWidth="1"/>
    <col min="3" max="3" width="4.44140625" style="33" customWidth="1"/>
    <col min="4" max="4" width="42.6640625" style="33" customWidth="1"/>
    <col min="5" max="5" width="24.88671875" style="33" customWidth="1"/>
    <col min="6" max="6" width="22.5546875" style="33" customWidth="1"/>
    <col min="7" max="7" width="24.33203125" style="33" customWidth="1"/>
    <col min="8" max="8" width="28.109375" style="33" customWidth="1"/>
    <col min="9" max="9" width="28.88671875" style="33" customWidth="1"/>
    <col min="10" max="16384" width="11.44140625" style="33"/>
  </cols>
  <sheetData>
    <row r="1" spans="1:9" ht="18.600000000000001" thickBot="1" x14ac:dyDescent="0.4">
      <c r="A1" s="286" t="s">
        <v>59</v>
      </c>
      <c r="B1" s="296"/>
      <c r="C1" s="35"/>
      <c r="D1" s="291"/>
      <c r="E1" s="291"/>
      <c r="F1" s="291"/>
    </row>
    <row r="2" spans="1:9" ht="18.600000000000001" thickBot="1" x14ac:dyDescent="0.4">
      <c r="A2" s="288" t="s">
        <v>11</v>
      </c>
      <c r="B2" s="297"/>
      <c r="C2" s="34"/>
      <c r="D2" s="298" t="s">
        <v>77</v>
      </c>
      <c r="E2" s="299"/>
      <c r="F2" s="300"/>
      <c r="H2" s="56" t="s">
        <v>66</v>
      </c>
      <c r="I2" s="56" t="s">
        <v>78</v>
      </c>
    </row>
    <row r="3" spans="1:9" x14ac:dyDescent="0.35">
      <c r="A3" s="244" t="s">
        <v>3</v>
      </c>
      <c r="B3" s="245" t="s">
        <v>6</v>
      </c>
      <c r="C3" s="34"/>
      <c r="D3" s="87" t="s">
        <v>10</v>
      </c>
      <c r="E3" s="248"/>
      <c r="F3" s="253">
        <f>I13</f>
        <v>10405</v>
      </c>
      <c r="H3" s="55" t="s">
        <v>67</v>
      </c>
      <c r="I3" s="89">
        <v>760</v>
      </c>
    </row>
    <row r="4" spans="1:9" x14ac:dyDescent="0.35">
      <c r="A4" s="82" t="s">
        <v>4</v>
      </c>
      <c r="B4" s="83">
        <v>0.13250000000000001</v>
      </c>
      <c r="C4" s="34"/>
      <c r="D4" s="94"/>
      <c r="E4" s="249"/>
      <c r="F4" s="254"/>
      <c r="H4" s="55" t="s">
        <v>68</v>
      </c>
      <c r="I4" s="89">
        <v>1050</v>
      </c>
    </row>
    <row r="5" spans="1:9" x14ac:dyDescent="0.35">
      <c r="A5" s="82" t="s">
        <v>5</v>
      </c>
      <c r="B5" s="83">
        <v>1.4999999999999999E-2</v>
      </c>
      <c r="C5" s="34"/>
      <c r="D5" s="88" t="s">
        <v>4</v>
      </c>
      <c r="E5" s="250">
        <v>0.125</v>
      </c>
      <c r="F5" s="255">
        <f>F3*E5</f>
        <v>1300.625</v>
      </c>
      <c r="H5" s="55" t="s">
        <v>69</v>
      </c>
      <c r="I5" s="89">
        <v>910</v>
      </c>
    </row>
    <row r="6" spans="1:9" x14ac:dyDescent="0.35">
      <c r="A6" s="55" t="s">
        <v>8</v>
      </c>
      <c r="B6" s="258">
        <v>5.5999999999999995E-4</v>
      </c>
      <c r="C6" s="34"/>
      <c r="D6" s="88" t="s">
        <v>5</v>
      </c>
      <c r="E6" s="250">
        <v>1.4999999999999999E-2</v>
      </c>
      <c r="F6" s="255">
        <f>F3*E6</f>
        <v>156.07499999999999</v>
      </c>
      <c r="H6" s="55" t="s">
        <v>70</v>
      </c>
      <c r="I6" s="89">
        <v>850</v>
      </c>
    </row>
    <row r="7" spans="1:9" x14ac:dyDescent="0.35">
      <c r="A7" s="86"/>
      <c r="D7" s="257" t="s">
        <v>168</v>
      </c>
      <c r="E7" s="250"/>
      <c r="F7" s="255">
        <f>SUM(F5:F6)</f>
        <v>1456.7</v>
      </c>
      <c r="H7" s="55" t="s">
        <v>71</v>
      </c>
      <c r="I7" s="89">
        <v>725</v>
      </c>
    </row>
    <row r="8" spans="1:9" x14ac:dyDescent="0.35">
      <c r="D8" s="233"/>
      <c r="E8" s="251"/>
      <c r="F8" s="255"/>
      <c r="H8" s="55" t="s">
        <v>72</v>
      </c>
      <c r="I8" s="89">
        <v>2500</v>
      </c>
    </row>
    <row r="9" spans="1:9" x14ac:dyDescent="0.35">
      <c r="D9" s="233" t="s">
        <v>8</v>
      </c>
      <c r="E9" s="251">
        <v>5.5999999999999995E-4</v>
      </c>
      <c r="F9" s="255"/>
      <c r="H9" s="55" t="s">
        <v>73</v>
      </c>
      <c r="I9" s="89">
        <v>650</v>
      </c>
    </row>
    <row r="10" spans="1:9" ht="18.600000000000001" thickBot="1" x14ac:dyDescent="0.4">
      <c r="D10" s="247" t="s">
        <v>170</v>
      </c>
      <c r="E10" s="252"/>
      <c r="F10" s="256">
        <f>F7+F8+F9</f>
        <v>1456.7</v>
      </c>
      <c r="H10" s="55" t="s">
        <v>74</v>
      </c>
      <c r="I10" s="89">
        <v>810</v>
      </c>
    </row>
    <row r="11" spans="1:9" ht="18.600000000000001" thickBot="1" x14ac:dyDescent="0.4">
      <c r="C11" s="36"/>
      <c r="D11" s="86"/>
      <c r="E11" s="34"/>
      <c r="H11" s="55" t="s">
        <v>75</v>
      </c>
      <c r="I11" s="89">
        <v>650</v>
      </c>
    </row>
    <row r="12" spans="1:9" ht="18.600000000000001" thickBot="1" x14ac:dyDescent="0.4">
      <c r="D12" s="298" t="s">
        <v>171</v>
      </c>
      <c r="E12" s="299"/>
      <c r="F12" s="300"/>
      <c r="H12" s="42" t="s">
        <v>76</v>
      </c>
      <c r="I12" s="89">
        <v>1500</v>
      </c>
    </row>
    <row r="13" spans="1:9" x14ac:dyDescent="0.35">
      <c r="D13" s="87" t="s">
        <v>134</v>
      </c>
      <c r="E13" s="248"/>
      <c r="F13" s="253">
        <f>I13/2</f>
        <v>5202.5</v>
      </c>
      <c r="H13" s="292" t="s">
        <v>79</v>
      </c>
      <c r="I13" s="294">
        <f>SUM(I3:I12)</f>
        <v>10405</v>
      </c>
    </row>
    <row r="14" spans="1:9" x14ac:dyDescent="0.35">
      <c r="D14" s="94"/>
      <c r="E14" s="249"/>
      <c r="F14" s="254"/>
      <c r="H14" s="293"/>
      <c r="I14" s="295"/>
    </row>
    <row r="15" spans="1:9" x14ac:dyDescent="0.35">
      <c r="D15" s="88" t="s">
        <v>4</v>
      </c>
      <c r="E15" s="250">
        <v>0.125</v>
      </c>
      <c r="F15" s="255">
        <f>F13*E15</f>
        <v>650.3125</v>
      </c>
    </row>
    <row r="16" spans="1:9" x14ac:dyDescent="0.35">
      <c r="D16" s="88" t="s">
        <v>5</v>
      </c>
      <c r="E16" s="250">
        <v>1.4999999999999999E-2</v>
      </c>
      <c r="F16" s="255">
        <f>F13*E16</f>
        <v>78.037499999999994</v>
      </c>
    </row>
    <row r="17" spans="4:7" x14ac:dyDescent="0.35">
      <c r="D17" s="257" t="s">
        <v>168</v>
      </c>
      <c r="E17" s="250"/>
      <c r="F17" s="255">
        <f>SUM(F15:F16)</f>
        <v>728.35</v>
      </c>
    </row>
    <row r="18" spans="4:7" x14ac:dyDescent="0.35">
      <c r="D18" s="233"/>
      <c r="E18" s="251"/>
      <c r="F18" s="255"/>
    </row>
    <row r="19" spans="4:7" x14ac:dyDescent="0.35">
      <c r="D19" s="233" t="s">
        <v>8</v>
      </c>
      <c r="E19" s="251">
        <v>5.5999999999999995E-4</v>
      </c>
      <c r="F19" s="255"/>
    </row>
    <row r="20" spans="4:7" ht="18.600000000000001" thickBot="1" x14ac:dyDescent="0.4">
      <c r="D20" s="247" t="s">
        <v>170</v>
      </c>
      <c r="E20" s="252"/>
      <c r="F20" s="256">
        <f>F17+F18+F19</f>
        <v>728.35</v>
      </c>
    </row>
    <row r="21" spans="4:7" x14ac:dyDescent="0.35">
      <c r="D21" s="232"/>
      <c r="E21" s="44"/>
      <c r="F21" s="246"/>
    </row>
    <row r="25" spans="4:7" x14ac:dyDescent="0.35">
      <c r="G25" s="98"/>
    </row>
  </sheetData>
  <mergeCells count="7">
    <mergeCell ref="H13:H14"/>
    <mergeCell ref="I13:I14"/>
    <mergeCell ref="A1:B1"/>
    <mergeCell ref="A2:B2"/>
    <mergeCell ref="D12:F12"/>
    <mergeCell ref="D1:F1"/>
    <mergeCell ref="D2:F2"/>
  </mergeCells>
  <pageMargins left="0.7" right="0.7" top="0.75" bottom="0.75" header="0.3" footer="0.3"/>
  <pageSetup orientation="portrait" horizontalDpi="4294967293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2D10-74FA-436C-82E1-B54DF4A8D77F}">
  <sheetPr>
    <tabColor rgb="FFFFFF00"/>
  </sheetPr>
  <dimension ref="A1:M29"/>
  <sheetViews>
    <sheetView workbookViewId="0">
      <selection activeCell="A30" sqref="A30:XFD51"/>
    </sheetView>
  </sheetViews>
  <sheetFormatPr baseColWidth="10" defaultColWidth="11.44140625" defaultRowHeight="18" x14ac:dyDescent="0.35"/>
  <cols>
    <col min="1" max="1" width="19.6640625" style="33" customWidth="1"/>
    <col min="2" max="2" width="23.44140625" style="33" customWidth="1"/>
    <col min="3" max="3" width="29.6640625" style="33" customWidth="1"/>
    <col min="4" max="4" width="15.44140625" style="33" customWidth="1"/>
    <col min="5" max="5" width="21.6640625" style="33" customWidth="1"/>
    <col min="6" max="6" width="19.44140625" style="33" customWidth="1"/>
    <col min="7" max="7" width="4.88671875" style="33" customWidth="1"/>
    <col min="8" max="8" width="21.5546875" style="33" customWidth="1"/>
    <col min="9" max="9" width="24.33203125" style="33" customWidth="1"/>
    <col min="10" max="10" width="25" style="33" customWidth="1"/>
    <col min="11" max="11" width="26" style="33" customWidth="1"/>
    <col min="12" max="12" width="21.5546875" style="33" customWidth="1"/>
    <col min="13" max="13" width="19.88671875" style="33" customWidth="1"/>
    <col min="14" max="16384" width="11.44140625" style="33"/>
  </cols>
  <sheetData>
    <row r="1" spans="1:13" x14ac:dyDescent="0.35">
      <c r="A1" s="309" t="s">
        <v>53</v>
      </c>
      <c r="B1" s="310"/>
      <c r="C1" s="310"/>
      <c r="D1" s="310"/>
      <c r="E1" s="310"/>
      <c r="F1" s="311"/>
    </row>
    <row r="2" spans="1:13" ht="18.600000000000001" thickBot="1" x14ac:dyDescent="0.4">
      <c r="A2" s="312"/>
      <c r="B2" s="313"/>
      <c r="C2" s="313"/>
      <c r="D2" s="313"/>
      <c r="E2" s="313"/>
      <c r="F2" s="314"/>
    </row>
    <row r="3" spans="1:13" ht="18.600000000000001" thickBot="1" x14ac:dyDescent="0.4">
      <c r="A3" s="301" t="s">
        <v>31</v>
      </c>
      <c r="B3" s="302"/>
      <c r="C3" s="303"/>
      <c r="D3" s="304" t="s">
        <v>32</v>
      </c>
      <c r="E3" s="306" t="s">
        <v>37</v>
      </c>
      <c r="F3" s="303"/>
    </row>
    <row r="4" spans="1:13" s="34" customFormat="1" x14ac:dyDescent="0.35">
      <c r="A4" s="40" t="s">
        <v>35</v>
      </c>
      <c r="B4" s="40" t="s">
        <v>36</v>
      </c>
      <c r="C4" s="40" t="s">
        <v>33</v>
      </c>
      <c r="D4" s="305"/>
      <c r="E4" s="40" t="s">
        <v>33</v>
      </c>
      <c r="F4" s="40" t="s">
        <v>34</v>
      </c>
    </row>
    <row r="5" spans="1:13" x14ac:dyDescent="0.35">
      <c r="A5" s="45">
        <v>0</v>
      </c>
      <c r="B5" s="45">
        <v>11000</v>
      </c>
      <c r="C5" s="47"/>
      <c r="D5" s="47"/>
      <c r="E5" s="47"/>
      <c r="F5" s="47"/>
      <c r="G5" s="36"/>
    </row>
    <row r="6" spans="1:13" x14ac:dyDescent="0.35">
      <c r="A6" s="45">
        <v>1100</v>
      </c>
      <c r="B6" s="45">
        <v>50000</v>
      </c>
      <c r="C6" s="48">
        <v>39000</v>
      </c>
      <c r="D6" s="50">
        <v>0.15</v>
      </c>
      <c r="E6" s="47">
        <v>5850</v>
      </c>
      <c r="F6" s="47">
        <v>5850</v>
      </c>
      <c r="G6" s="36"/>
    </row>
    <row r="7" spans="1:13" ht="18.600000000000001" thickBot="1" x14ac:dyDescent="0.4">
      <c r="A7" s="46">
        <v>50000</v>
      </c>
      <c r="B7" s="46" t="s">
        <v>38</v>
      </c>
      <c r="C7" s="49"/>
      <c r="D7" s="51">
        <v>0.25</v>
      </c>
      <c r="E7" s="49"/>
      <c r="F7" s="49"/>
      <c r="G7" s="36"/>
    </row>
    <row r="8" spans="1:13" x14ac:dyDescent="0.35">
      <c r="A8" s="36"/>
      <c r="B8" s="36"/>
      <c r="C8" s="36"/>
      <c r="D8" s="36"/>
      <c r="E8" s="36"/>
      <c r="F8" s="36"/>
      <c r="G8" s="36"/>
    </row>
    <row r="9" spans="1:13" ht="18.600000000000001" thickBot="1" x14ac:dyDescent="0.4">
      <c r="A9" s="36"/>
      <c r="B9" s="36"/>
      <c r="C9" s="36"/>
      <c r="D9" s="36"/>
      <c r="E9" s="36"/>
      <c r="F9" s="36"/>
      <c r="G9" s="36"/>
    </row>
    <row r="10" spans="1:13" ht="18.600000000000001" thickBot="1" x14ac:dyDescent="0.4">
      <c r="A10" s="315" t="s">
        <v>52</v>
      </c>
      <c r="B10" s="316"/>
      <c r="C10" s="316"/>
      <c r="D10" s="316"/>
      <c r="E10" s="316"/>
      <c r="F10" s="317"/>
      <c r="G10" s="36"/>
      <c r="H10" s="68" t="s">
        <v>51</v>
      </c>
      <c r="I10" s="69"/>
      <c r="J10" s="69"/>
      <c r="K10" s="69"/>
      <c r="L10" s="70"/>
    </row>
    <row r="11" spans="1:13" s="35" customFormat="1" ht="18.600000000000001" thickBot="1" x14ac:dyDescent="0.4">
      <c r="A11" s="326" t="s">
        <v>45</v>
      </c>
      <c r="B11" s="327"/>
      <c r="C11" s="327"/>
      <c r="D11" s="327"/>
      <c r="E11" s="327"/>
      <c r="F11" s="328"/>
      <c r="G11" s="52"/>
      <c r="H11" s="320" t="s">
        <v>31</v>
      </c>
      <c r="I11" s="320"/>
      <c r="J11" s="318" t="s">
        <v>47</v>
      </c>
      <c r="K11" s="318" t="s">
        <v>48</v>
      </c>
      <c r="L11" s="321" t="s">
        <v>37</v>
      </c>
    </row>
    <row r="12" spans="1:13" s="35" customFormat="1" x14ac:dyDescent="0.35">
      <c r="A12" s="323"/>
      <c r="B12" s="324"/>
      <c r="C12" s="324"/>
      <c r="D12" s="324"/>
      <c r="E12" s="324"/>
      <c r="F12" s="325"/>
      <c r="G12" s="52"/>
      <c r="H12" s="37" t="s">
        <v>35</v>
      </c>
      <c r="I12" s="37" t="s">
        <v>36</v>
      </c>
      <c r="J12" s="319"/>
      <c r="K12" s="319"/>
      <c r="L12" s="322"/>
    </row>
    <row r="13" spans="1:13" s="35" customFormat="1" x14ac:dyDescent="0.35">
      <c r="A13" s="59" t="s">
        <v>50</v>
      </c>
      <c r="B13" s="52"/>
      <c r="C13" s="52"/>
      <c r="D13" s="52"/>
      <c r="E13" s="52"/>
      <c r="F13" s="60"/>
      <c r="G13" s="52"/>
      <c r="H13" s="41">
        <v>0</v>
      </c>
      <c r="I13" s="41">
        <v>11000</v>
      </c>
      <c r="J13" s="57">
        <v>11000</v>
      </c>
      <c r="K13" s="42"/>
      <c r="L13" s="42">
        <f>J13*K13</f>
        <v>0</v>
      </c>
    </row>
    <row r="14" spans="1:13" x14ac:dyDescent="0.35">
      <c r="A14" s="61" t="s">
        <v>39</v>
      </c>
      <c r="C14" s="36"/>
      <c r="F14" s="62"/>
      <c r="H14" s="41">
        <v>1100</v>
      </c>
      <c r="I14" s="41">
        <v>50000</v>
      </c>
      <c r="J14" s="57"/>
      <c r="K14" s="43">
        <v>0.15</v>
      </c>
      <c r="L14" s="42">
        <f>J14*K14</f>
        <v>0</v>
      </c>
      <c r="M14" s="35"/>
    </row>
    <row r="15" spans="1:13" x14ac:dyDescent="0.35">
      <c r="A15" s="61" t="s">
        <v>40</v>
      </c>
      <c r="C15" s="53"/>
      <c r="F15" s="62"/>
      <c r="H15" s="41">
        <v>50000</v>
      </c>
      <c r="I15" s="41" t="s">
        <v>38</v>
      </c>
      <c r="J15" s="42"/>
      <c r="K15" s="43">
        <v>0.25</v>
      </c>
      <c r="L15" s="42">
        <f>J15*K15</f>
        <v>0</v>
      </c>
      <c r="M15" s="44"/>
    </row>
    <row r="16" spans="1:13" x14ac:dyDescent="0.35">
      <c r="A16" s="307" t="s">
        <v>41</v>
      </c>
      <c r="B16" s="308"/>
      <c r="E16" s="36"/>
      <c r="F16" s="62"/>
      <c r="H16" s="56" t="s">
        <v>49</v>
      </c>
      <c r="I16" s="55"/>
      <c r="J16" s="58">
        <f>SUM(J13:J15)</f>
        <v>11000</v>
      </c>
      <c r="K16" s="56"/>
      <c r="L16" s="58">
        <f>SUM(L13:L15)</f>
        <v>0</v>
      </c>
      <c r="M16" s="36"/>
    </row>
    <row r="17" spans="1:13" x14ac:dyDescent="0.35">
      <c r="A17" s="63" t="s">
        <v>46</v>
      </c>
      <c r="F17" s="62"/>
      <c r="M17" s="36"/>
    </row>
    <row r="18" spans="1:13" ht="18.600000000000001" thickBot="1" x14ac:dyDescent="0.4">
      <c r="A18" s="61" t="s">
        <v>42</v>
      </c>
      <c r="C18" s="64"/>
      <c r="F18" s="62"/>
      <c r="M18" s="36"/>
    </row>
    <row r="19" spans="1:13" ht="18.600000000000001" thickBot="1" x14ac:dyDescent="0.4">
      <c r="A19" s="61" t="s">
        <v>43</v>
      </c>
      <c r="E19" s="54"/>
      <c r="F19" s="62"/>
      <c r="H19" s="71" t="s">
        <v>57</v>
      </c>
      <c r="I19" s="72"/>
      <c r="J19" s="72"/>
      <c r="K19" s="72"/>
      <c r="L19" s="73"/>
    </row>
    <row r="20" spans="1:13" x14ac:dyDescent="0.35">
      <c r="A20" s="61" t="s">
        <v>44</v>
      </c>
      <c r="E20" s="36"/>
      <c r="F20" s="62"/>
      <c r="H20" s="329" t="s">
        <v>54</v>
      </c>
      <c r="I20" s="330"/>
      <c r="J20" s="40" t="s">
        <v>55</v>
      </c>
      <c r="K20" s="330" t="s">
        <v>56</v>
      </c>
      <c r="L20" s="331"/>
    </row>
    <row r="21" spans="1:13" ht="18.600000000000001" thickBot="1" x14ac:dyDescent="0.4">
      <c r="A21" s="65"/>
      <c r="B21" s="66"/>
      <c r="C21" s="66"/>
      <c r="D21" s="66"/>
      <c r="E21" s="66"/>
      <c r="F21" s="67"/>
      <c r="H21" s="332">
        <f>L16</f>
        <v>0</v>
      </c>
      <c r="I21" s="333"/>
      <c r="J21" s="74">
        <v>12</v>
      </c>
      <c r="K21" s="334">
        <f>H21/J21</f>
        <v>0</v>
      </c>
      <c r="L21" s="334"/>
    </row>
    <row r="22" spans="1:13" ht="18.600000000000001" thickBot="1" x14ac:dyDescent="0.4">
      <c r="J22" s="34"/>
    </row>
    <row r="23" spans="1:13" ht="18.600000000000001" thickBot="1" x14ac:dyDescent="0.4">
      <c r="H23" s="75" t="s">
        <v>58</v>
      </c>
      <c r="I23" s="76"/>
      <c r="J23" s="77"/>
      <c r="K23" s="76"/>
      <c r="L23" s="78"/>
    </row>
    <row r="24" spans="1:13" x14ac:dyDescent="0.35">
      <c r="H24" s="329" t="s">
        <v>54</v>
      </c>
      <c r="I24" s="330"/>
      <c r="J24" s="40" t="s">
        <v>55</v>
      </c>
      <c r="K24" s="330" t="s">
        <v>65</v>
      </c>
      <c r="L24" s="331"/>
    </row>
    <row r="25" spans="1:13" x14ac:dyDescent="0.35">
      <c r="H25" s="332">
        <f>K21</f>
        <v>0</v>
      </c>
      <c r="I25" s="333"/>
      <c r="J25" s="74">
        <v>2</v>
      </c>
      <c r="K25" s="334">
        <f>H25/J25</f>
        <v>0</v>
      </c>
      <c r="L25" s="334"/>
    </row>
    <row r="29" spans="1:13" x14ac:dyDescent="0.35">
      <c r="E29" s="36"/>
    </row>
  </sheetData>
  <mergeCells count="20">
    <mergeCell ref="H24:I24"/>
    <mergeCell ref="K24:L24"/>
    <mergeCell ref="H25:I25"/>
    <mergeCell ref="H20:I20"/>
    <mergeCell ref="K25:L25"/>
    <mergeCell ref="K20:L20"/>
    <mergeCell ref="H21:I21"/>
    <mergeCell ref="K21:L21"/>
    <mergeCell ref="K11:K12"/>
    <mergeCell ref="H11:I11"/>
    <mergeCell ref="J11:J12"/>
    <mergeCell ref="L11:L12"/>
    <mergeCell ref="A12:F12"/>
    <mergeCell ref="A11:F11"/>
    <mergeCell ref="A3:C3"/>
    <mergeCell ref="D3:D4"/>
    <mergeCell ref="E3:F3"/>
    <mergeCell ref="A16:B16"/>
    <mergeCell ref="A1:F2"/>
    <mergeCell ref="A10:F10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1607-B565-491D-A78F-16EAFA7392C3}">
  <sheetPr>
    <tabColor rgb="FF00B0F0"/>
  </sheetPr>
  <dimension ref="A1:Y31"/>
  <sheetViews>
    <sheetView topLeftCell="L17" workbookViewId="0">
      <selection activeCell="P15" sqref="P15"/>
    </sheetView>
  </sheetViews>
  <sheetFormatPr baseColWidth="10" defaultColWidth="11.44140625" defaultRowHeight="18" x14ac:dyDescent="0.35"/>
  <cols>
    <col min="1" max="1" width="23" style="33" customWidth="1"/>
    <col min="2" max="2" width="18.109375" style="33" customWidth="1"/>
    <col min="3" max="3" width="17.5546875" style="33" customWidth="1"/>
    <col min="4" max="4" width="3.109375" style="33" customWidth="1"/>
    <col min="5" max="5" width="25.44140625" style="33" customWidth="1"/>
    <col min="6" max="6" width="30.5546875" style="33" customWidth="1"/>
    <col min="7" max="7" width="17.5546875" style="33" customWidth="1"/>
    <col min="8" max="8" width="3.6640625" style="33" customWidth="1"/>
    <col min="9" max="9" width="23.88671875" style="33" customWidth="1"/>
    <col min="10" max="10" width="32.44140625" style="33" customWidth="1"/>
    <col min="11" max="11" width="17.109375" style="33" customWidth="1"/>
    <col min="12" max="12" width="16.109375" style="33" customWidth="1"/>
    <col min="13" max="13" width="3.33203125" style="33" customWidth="1"/>
    <col min="14" max="14" width="23.44140625" style="33" customWidth="1"/>
    <col min="15" max="15" width="15.5546875" style="33" customWidth="1"/>
    <col min="16" max="16" width="24.5546875" style="33" customWidth="1"/>
    <col min="17" max="17" width="5.44140625" style="33" customWidth="1"/>
    <col min="18" max="18" width="22.109375" style="33" customWidth="1"/>
    <col min="19" max="19" width="14.88671875" style="33" customWidth="1"/>
    <col min="20" max="20" width="24.109375" style="33" customWidth="1"/>
    <col min="21" max="21" width="3.44140625" style="33" customWidth="1"/>
    <col min="22" max="22" width="26.33203125" style="33" customWidth="1"/>
    <col min="23" max="23" width="16.109375" style="33" customWidth="1"/>
    <col min="24" max="24" width="20.33203125" style="33" customWidth="1"/>
    <col min="25" max="16384" width="11.44140625" style="33"/>
  </cols>
  <sheetData>
    <row r="1" spans="1:24" x14ac:dyDescent="0.35">
      <c r="A1" s="357" t="s">
        <v>100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N1" s="380" t="s">
        <v>100</v>
      </c>
      <c r="O1" s="381"/>
      <c r="P1" s="381"/>
      <c r="Q1" s="381"/>
      <c r="R1" s="381"/>
      <c r="S1" s="381"/>
      <c r="T1" s="381"/>
      <c r="U1" s="381"/>
      <c r="V1" s="381"/>
      <c r="W1" s="381"/>
      <c r="X1" s="382"/>
    </row>
    <row r="2" spans="1:24" ht="18.600000000000001" thickBot="1" x14ac:dyDescent="0.4">
      <c r="A2" s="357"/>
      <c r="B2" s="357"/>
      <c r="C2" s="357"/>
      <c r="D2" s="357"/>
      <c r="E2" s="357"/>
      <c r="F2" s="357"/>
      <c r="G2" s="357"/>
      <c r="H2" s="357"/>
      <c r="I2" s="357"/>
      <c r="J2" s="357"/>
      <c r="K2" s="357"/>
      <c r="N2" s="383"/>
      <c r="O2" s="384"/>
      <c r="P2" s="384"/>
      <c r="Q2" s="384"/>
      <c r="R2" s="384"/>
      <c r="S2" s="384"/>
      <c r="T2" s="384"/>
      <c r="U2" s="384"/>
      <c r="V2" s="384"/>
      <c r="W2" s="384"/>
      <c r="X2" s="385"/>
    </row>
    <row r="3" spans="1:24" ht="18.600000000000001" thickBot="1" x14ac:dyDescent="0.4">
      <c r="A3" s="368" t="s">
        <v>80</v>
      </c>
      <c r="B3" s="369"/>
      <c r="C3" s="370"/>
      <c r="D3" s="346"/>
      <c r="E3" s="368" t="s">
        <v>88</v>
      </c>
      <c r="F3" s="369"/>
      <c r="G3" s="370"/>
      <c r="H3" s="330"/>
      <c r="I3" s="358" t="s">
        <v>94</v>
      </c>
      <c r="J3" s="359"/>
      <c r="K3" s="359"/>
      <c r="N3" s="368" t="s">
        <v>80</v>
      </c>
      <c r="O3" s="369"/>
      <c r="P3" s="370"/>
      <c r="Q3" s="346"/>
      <c r="R3" s="368" t="s">
        <v>88</v>
      </c>
      <c r="S3" s="369"/>
      <c r="T3" s="370"/>
      <c r="U3" s="330"/>
      <c r="V3" s="358" t="s">
        <v>94</v>
      </c>
      <c r="W3" s="359"/>
      <c r="X3" s="388"/>
    </row>
    <row r="4" spans="1:24" x14ac:dyDescent="0.35">
      <c r="A4" s="95" t="s">
        <v>81</v>
      </c>
      <c r="B4" s="96"/>
      <c r="C4" s="355"/>
      <c r="D4" s="346"/>
      <c r="E4" s="95" t="s">
        <v>89</v>
      </c>
      <c r="F4" s="96"/>
      <c r="G4" s="355"/>
      <c r="H4" s="366"/>
      <c r="I4" s="95" t="s">
        <v>95</v>
      </c>
      <c r="J4" s="96"/>
      <c r="K4" s="355"/>
      <c r="N4" s="81" t="s">
        <v>173</v>
      </c>
      <c r="O4" s="55" t="s">
        <v>84</v>
      </c>
      <c r="P4" s="389"/>
      <c r="Q4" s="346"/>
      <c r="R4" s="95" t="s">
        <v>172</v>
      </c>
      <c r="S4" s="55" t="s">
        <v>84</v>
      </c>
      <c r="T4" s="389"/>
      <c r="U4" s="366"/>
      <c r="V4" s="95" t="s">
        <v>175</v>
      </c>
      <c r="W4" s="55" t="s">
        <v>84</v>
      </c>
      <c r="X4" s="391"/>
    </row>
    <row r="5" spans="1:24" x14ac:dyDescent="0.35">
      <c r="A5" s="335" t="s">
        <v>82</v>
      </c>
      <c r="B5" s="55" t="s">
        <v>83</v>
      </c>
      <c r="C5" s="355"/>
      <c r="D5" s="346"/>
      <c r="E5" s="335" t="s">
        <v>90</v>
      </c>
      <c r="F5" s="55" t="s">
        <v>83</v>
      </c>
      <c r="G5" s="355"/>
      <c r="H5" s="366"/>
      <c r="I5" s="335" t="s">
        <v>96</v>
      </c>
      <c r="J5" s="55" t="s">
        <v>83</v>
      </c>
      <c r="K5" s="355"/>
      <c r="N5" s="393" t="s">
        <v>82</v>
      </c>
      <c r="O5" s="55" t="s">
        <v>83</v>
      </c>
      <c r="P5" s="389"/>
      <c r="Q5" s="346"/>
      <c r="R5" s="335" t="s">
        <v>90</v>
      </c>
      <c r="S5" s="55" t="s">
        <v>83</v>
      </c>
      <c r="T5" s="389"/>
      <c r="U5" s="366"/>
      <c r="V5" s="335" t="s">
        <v>96</v>
      </c>
      <c r="W5" s="55" t="s">
        <v>83</v>
      </c>
      <c r="X5" s="391"/>
    </row>
    <row r="6" spans="1:24" x14ac:dyDescent="0.35">
      <c r="A6" s="335"/>
      <c r="B6" s="55" t="s">
        <v>84</v>
      </c>
      <c r="C6" s="355"/>
      <c r="D6" s="346"/>
      <c r="E6" s="335"/>
      <c r="F6" s="55" t="s">
        <v>84</v>
      </c>
      <c r="G6" s="355"/>
      <c r="H6" s="366"/>
      <c r="I6" s="335"/>
      <c r="J6" s="55" t="s">
        <v>84</v>
      </c>
      <c r="K6" s="355"/>
      <c r="N6" s="393"/>
      <c r="O6" s="55" t="s">
        <v>84</v>
      </c>
      <c r="P6" s="389"/>
      <c r="Q6" s="346"/>
      <c r="R6" s="335"/>
      <c r="S6" s="55" t="s">
        <v>84</v>
      </c>
      <c r="T6" s="389"/>
      <c r="U6" s="366"/>
      <c r="V6" s="335"/>
      <c r="W6" s="55" t="s">
        <v>84</v>
      </c>
      <c r="X6" s="391"/>
    </row>
    <row r="7" spans="1:24" x14ac:dyDescent="0.35">
      <c r="A7" s="335" t="s">
        <v>85</v>
      </c>
      <c r="B7" s="55" t="s">
        <v>83</v>
      </c>
      <c r="C7" s="355"/>
      <c r="D7" s="346"/>
      <c r="E7" s="335" t="s">
        <v>91</v>
      </c>
      <c r="F7" s="55" t="s">
        <v>83</v>
      </c>
      <c r="G7" s="355"/>
      <c r="H7" s="366"/>
      <c r="I7" s="335" t="s">
        <v>97</v>
      </c>
      <c r="J7" s="55" t="s">
        <v>83</v>
      </c>
      <c r="K7" s="355"/>
      <c r="N7" s="393" t="s">
        <v>85</v>
      </c>
      <c r="O7" s="55" t="s">
        <v>83</v>
      </c>
      <c r="P7" s="389"/>
      <c r="Q7" s="346"/>
      <c r="R7" s="335" t="s">
        <v>91</v>
      </c>
      <c r="S7" s="55" t="s">
        <v>83</v>
      </c>
      <c r="T7" s="389"/>
      <c r="U7" s="366"/>
      <c r="V7" s="335" t="s">
        <v>97</v>
      </c>
      <c r="W7" s="55" t="s">
        <v>83</v>
      </c>
      <c r="X7" s="391"/>
    </row>
    <row r="8" spans="1:24" x14ac:dyDescent="0.35">
      <c r="A8" s="335"/>
      <c r="B8" s="55" t="s">
        <v>84</v>
      </c>
      <c r="C8" s="355"/>
      <c r="D8" s="346"/>
      <c r="E8" s="335"/>
      <c r="F8" s="55" t="s">
        <v>84</v>
      </c>
      <c r="G8" s="355"/>
      <c r="H8" s="366"/>
      <c r="I8" s="335"/>
      <c r="J8" s="55" t="s">
        <v>84</v>
      </c>
      <c r="K8" s="355"/>
      <c r="N8" s="393"/>
      <c r="O8" s="55" t="s">
        <v>84</v>
      </c>
      <c r="P8" s="389"/>
      <c r="Q8" s="346"/>
      <c r="R8" s="335"/>
      <c r="S8" s="55" t="s">
        <v>84</v>
      </c>
      <c r="T8" s="389"/>
      <c r="U8" s="366"/>
      <c r="V8" s="335"/>
      <c r="W8" s="55" t="s">
        <v>84</v>
      </c>
      <c r="X8" s="391"/>
    </row>
    <row r="9" spans="1:24" x14ac:dyDescent="0.35">
      <c r="A9" s="335" t="s">
        <v>86</v>
      </c>
      <c r="B9" s="55" t="s">
        <v>83</v>
      </c>
      <c r="C9" s="355"/>
      <c r="D9" s="346"/>
      <c r="E9" s="335" t="s">
        <v>92</v>
      </c>
      <c r="F9" s="55" t="s">
        <v>83</v>
      </c>
      <c r="G9" s="355"/>
      <c r="H9" s="366"/>
      <c r="I9" s="335" t="s">
        <v>98</v>
      </c>
      <c r="J9" s="55" t="s">
        <v>83</v>
      </c>
      <c r="K9" s="355"/>
      <c r="N9" s="393" t="s">
        <v>86</v>
      </c>
      <c r="O9" s="55" t="s">
        <v>83</v>
      </c>
      <c r="P9" s="389"/>
      <c r="Q9" s="346"/>
      <c r="R9" s="335" t="s">
        <v>92</v>
      </c>
      <c r="S9" s="55" t="s">
        <v>83</v>
      </c>
      <c r="T9" s="389"/>
      <c r="U9" s="366"/>
      <c r="V9" s="335" t="s">
        <v>98</v>
      </c>
      <c r="W9" s="55" t="s">
        <v>83</v>
      </c>
      <c r="X9" s="391"/>
    </row>
    <row r="10" spans="1:24" x14ac:dyDescent="0.35">
      <c r="A10" s="335"/>
      <c r="B10" s="55" t="s">
        <v>84</v>
      </c>
      <c r="C10" s="355"/>
      <c r="D10" s="346"/>
      <c r="E10" s="335"/>
      <c r="F10" s="55" t="s">
        <v>84</v>
      </c>
      <c r="G10" s="355"/>
      <c r="H10" s="366"/>
      <c r="I10" s="335"/>
      <c r="J10" s="55" t="s">
        <v>84</v>
      </c>
      <c r="K10" s="355"/>
      <c r="N10" s="393"/>
      <c r="O10" s="55" t="s">
        <v>84</v>
      </c>
      <c r="P10" s="389"/>
      <c r="Q10" s="346"/>
      <c r="R10" s="335"/>
      <c r="S10" s="55" t="s">
        <v>84</v>
      </c>
      <c r="T10" s="389"/>
      <c r="U10" s="366"/>
      <c r="V10" s="335"/>
      <c r="W10" s="55" t="s">
        <v>84</v>
      </c>
      <c r="X10" s="391"/>
    </row>
    <row r="11" spans="1:24" ht="18.600000000000001" thickBot="1" x14ac:dyDescent="0.4">
      <c r="A11" s="56" t="s">
        <v>87</v>
      </c>
      <c r="B11" s="55"/>
      <c r="C11" s="356"/>
      <c r="D11" s="346"/>
      <c r="E11" s="56" t="s">
        <v>93</v>
      </c>
      <c r="F11" s="55"/>
      <c r="G11" s="356"/>
      <c r="H11" s="367"/>
      <c r="I11" s="56" t="s">
        <v>99</v>
      </c>
      <c r="J11" s="55"/>
      <c r="K11" s="356"/>
      <c r="N11" s="259" t="s">
        <v>172</v>
      </c>
      <c r="O11" s="260" t="s">
        <v>84</v>
      </c>
      <c r="P11" s="390"/>
      <c r="Q11" s="386"/>
      <c r="R11" s="261" t="s">
        <v>174</v>
      </c>
      <c r="S11" s="260" t="s">
        <v>83</v>
      </c>
      <c r="T11" s="390"/>
      <c r="U11" s="387"/>
      <c r="V11" s="261" t="s">
        <v>176</v>
      </c>
      <c r="W11" s="260" t="s">
        <v>83</v>
      </c>
      <c r="X11" s="392"/>
    </row>
    <row r="12" spans="1:24" ht="18.600000000000001" thickBot="1" x14ac:dyDescent="0.4">
      <c r="A12" s="35"/>
      <c r="C12" s="34"/>
      <c r="D12" s="34"/>
      <c r="E12" s="35"/>
      <c r="G12" s="34"/>
      <c r="H12" s="44"/>
      <c r="I12" s="35"/>
      <c r="K12" s="34"/>
      <c r="N12" s="35"/>
      <c r="P12" s="34"/>
      <c r="Q12" s="34"/>
      <c r="R12" s="35"/>
      <c r="T12" s="34"/>
      <c r="U12" s="44"/>
      <c r="V12" s="35"/>
      <c r="X12" s="34"/>
    </row>
    <row r="13" spans="1:24" x14ac:dyDescent="0.35">
      <c r="A13" s="360" t="s">
        <v>109</v>
      </c>
      <c r="B13" s="361"/>
      <c r="C13" s="361"/>
      <c r="D13" s="361"/>
      <c r="E13" s="361"/>
      <c r="F13" s="361"/>
      <c r="G13" s="361"/>
      <c r="H13" s="361"/>
      <c r="I13" s="361"/>
      <c r="J13" s="361"/>
      <c r="K13" s="362"/>
      <c r="N13" s="371" t="s">
        <v>177</v>
      </c>
      <c r="O13" s="372"/>
      <c r="P13" s="372"/>
      <c r="Q13" s="372"/>
      <c r="R13" s="372"/>
      <c r="S13" s="372"/>
      <c r="T13" s="372"/>
      <c r="U13" s="372"/>
      <c r="V13" s="372"/>
      <c r="W13" s="372"/>
      <c r="X13" s="373"/>
    </row>
    <row r="14" spans="1:24" ht="18.600000000000001" thickBot="1" x14ac:dyDescent="0.4">
      <c r="A14" s="363"/>
      <c r="B14" s="364"/>
      <c r="C14" s="364"/>
      <c r="D14" s="364"/>
      <c r="E14" s="364"/>
      <c r="F14" s="364"/>
      <c r="G14" s="364"/>
      <c r="H14" s="364"/>
      <c r="I14" s="364"/>
      <c r="J14" s="364"/>
      <c r="K14" s="365"/>
      <c r="N14" s="374"/>
      <c r="O14" s="375"/>
      <c r="P14" s="375"/>
      <c r="Q14" s="375"/>
      <c r="R14" s="375"/>
      <c r="S14" s="375"/>
      <c r="T14" s="375"/>
      <c r="U14" s="375"/>
      <c r="V14" s="375"/>
      <c r="W14" s="375"/>
      <c r="X14" s="376"/>
    </row>
    <row r="15" spans="1:24" ht="18.600000000000001" thickBot="1" x14ac:dyDescent="0.4">
      <c r="A15" s="342" t="s">
        <v>10</v>
      </c>
      <c r="B15" s="342"/>
      <c r="C15" s="121">
        <v>0</v>
      </c>
      <c r="D15" s="346"/>
      <c r="E15" s="336" t="s">
        <v>10</v>
      </c>
      <c r="F15" s="336"/>
      <c r="G15" s="122">
        <v>0</v>
      </c>
      <c r="H15" s="346"/>
      <c r="I15" s="345" t="s">
        <v>10</v>
      </c>
      <c r="J15" s="345"/>
      <c r="K15" s="123">
        <v>0</v>
      </c>
      <c r="N15" s="394" t="s">
        <v>10</v>
      </c>
      <c r="O15" s="395"/>
      <c r="P15" s="267">
        <v>0</v>
      </c>
      <c r="Q15" s="346"/>
      <c r="R15" s="394" t="s">
        <v>10</v>
      </c>
      <c r="S15" s="395"/>
      <c r="T15" s="267">
        <v>0</v>
      </c>
      <c r="U15" s="346"/>
      <c r="V15" s="414" t="s">
        <v>10</v>
      </c>
      <c r="W15" s="415"/>
      <c r="X15" s="268">
        <v>0</v>
      </c>
    </row>
    <row r="16" spans="1:24" ht="18.600000000000001" thickBot="1" x14ac:dyDescent="0.4">
      <c r="A16" s="101" t="s">
        <v>80</v>
      </c>
      <c r="B16" s="35"/>
      <c r="C16" s="35"/>
      <c r="D16" s="346"/>
      <c r="E16" s="102" t="s">
        <v>88</v>
      </c>
      <c r="F16" s="103"/>
      <c r="G16" s="35"/>
      <c r="H16" s="346"/>
      <c r="I16" s="105" t="s">
        <v>94</v>
      </c>
      <c r="J16" s="103"/>
      <c r="K16" s="35"/>
      <c r="N16" s="377" t="s">
        <v>80</v>
      </c>
      <c r="O16" s="378"/>
      <c r="P16" s="379"/>
      <c r="Q16" s="346"/>
      <c r="R16" s="329" t="s">
        <v>88</v>
      </c>
      <c r="S16" s="330"/>
      <c r="T16" s="331"/>
      <c r="U16" s="346"/>
      <c r="V16" s="329" t="s">
        <v>94</v>
      </c>
      <c r="W16" s="330"/>
      <c r="X16" s="331"/>
    </row>
    <row r="17" spans="1:25" x14ac:dyDescent="0.35">
      <c r="A17" s="56" t="s">
        <v>81</v>
      </c>
      <c r="B17" s="97"/>
      <c r="C17" s="89">
        <f>C15/2</f>
        <v>0</v>
      </c>
      <c r="D17" s="346"/>
      <c r="E17" s="95" t="s">
        <v>89</v>
      </c>
      <c r="F17" s="96"/>
      <c r="G17" s="89">
        <f>G15/2</f>
        <v>0</v>
      </c>
      <c r="H17" s="346"/>
      <c r="I17" s="95" t="s">
        <v>95</v>
      </c>
      <c r="J17" s="96"/>
      <c r="K17" s="89">
        <f>K15/2</f>
        <v>0</v>
      </c>
      <c r="N17" s="81" t="s">
        <v>173</v>
      </c>
      <c r="O17" s="55" t="s">
        <v>84</v>
      </c>
      <c r="P17" s="152">
        <f>P15/2</f>
        <v>0</v>
      </c>
      <c r="Q17" s="346"/>
      <c r="R17" s="81" t="s">
        <v>172</v>
      </c>
      <c r="S17" s="55" t="s">
        <v>84</v>
      </c>
      <c r="T17" s="152">
        <f>T15/2</f>
        <v>0</v>
      </c>
      <c r="U17" s="346"/>
      <c r="V17" s="81" t="s">
        <v>175</v>
      </c>
      <c r="W17" s="55" t="s">
        <v>84</v>
      </c>
      <c r="X17" s="152">
        <f>X15/2</f>
        <v>0</v>
      </c>
    </row>
    <row r="18" spans="1:25" x14ac:dyDescent="0.35">
      <c r="A18" s="335" t="s">
        <v>82</v>
      </c>
      <c r="B18" s="55" t="s">
        <v>83</v>
      </c>
      <c r="C18" s="334">
        <f>C15</f>
        <v>0</v>
      </c>
      <c r="D18" s="346"/>
      <c r="E18" s="335" t="s">
        <v>90</v>
      </c>
      <c r="F18" s="55" t="s">
        <v>83</v>
      </c>
      <c r="G18" s="334">
        <f>G15</f>
        <v>0</v>
      </c>
      <c r="H18" s="346"/>
      <c r="I18" s="335" t="s">
        <v>96</v>
      </c>
      <c r="J18" s="55" t="s">
        <v>83</v>
      </c>
      <c r="K18" s="89">
        <v>450</v>
      </c>
      <c r="L18" s="120" t="s">
        <v>108</v>
      </c>
      <c r="N18" s="393" t="s">
        <v>82</v>
      </c>
      <c r="O18" s="55" t="s">
        <v>83</v>
      </c>
      <c r="P18" s="416">
        <f>P15</f>
        <v>0</v>
      </c>
      <c r="Q18" s="346"/>
      <c r="R18" s="393" t="s">
        <v>90</v>
      </c>
      <c r="S18" s="55" t="s">
        <v>83</v>
      </c>
      <c r="T18" s="416">
        <f>T15</f>
        <v>0</v>
      </c>
      <c r="U18" s="346"/>
      <c r="V18" s="393" t="s">
        <v>96</v>
      </c>
      <c r="W18" s="55" t="s">
        <v>83</v>
      </c>
      <c r="X18" s="152">
        <v>125</v>
      </c>
      <c r="Y18" s="120" t="s">
        <v>108</v>
      </c>
    </row>
    <row r="19" spans="1:25" x14ac:dyDescent="0.35">
      <c r="A19" s="335"/>
      <c r="B19" s="55" t="s">
        <v>84</v>
      </c>
      <c r="C19" s="341"/>
      <c r="D19" s="346"/>
      <c r="E19" s="335"/>
      <c r="F19" s="55" t="s">
        <v>84</v>
      </c>
      <c r="G19" s="341"/>
      <c r="H19" s="346"/>
      <c r="I19" s="335"/>
      <c r="J19" s="55" t="s">
        <v>84</v>
      </c>
      <c r="K19" s="89">
        <v>400</v>
      </c>
      <c r="N19" s="393"/>
      <c r="O19" s="55" t="s">
        <v>84</v>
      </c>
      <c r="P19" s="417"/>
      <c r="Q19" s="346"/>
      <c r="R19" s="393"/>
      <c r="S19" s="55" t="s">
        <v>84</v>
      </c>
      <c r="T19" s="417"/>
      <c r="U19" s="346"/>
      <c r="V19" s="393"/>
      <c r="W19" s="55" t="s">
        <v>84</v>
      </c>
      <c r="X19" s="152"/>
    </row>
    <row r="20" spans="1:25" x14ac:dyDescent="0.35">
      <c r="A20" s="335" t="s">
        <v>85</v>
      </c>
      <c r="B20" s="55" t="s">
        <v>83</v>
      </c>
      <c r="C20" s="89">
        <f>C17</f>
        <v>0</v>
      </c>
      <c r="D20" s="346"/>
      <c r="E20" s="335" t="s">
        <v>91</v>
      </c>
      <c r="F20" s="55" t="s">
        <v>83</v>
      </c>
      <c r="G20" s="89">
        <f>G17</f>
        <v>0</v>
      </c>
      <c r="H20" s="346"/>
      <c r="I20" s="335" t="s">
        <v>97</v>
      </c>
      <c r="J20" s="55" t="s">
        <v>83</v>
      </c>
      <c r="K20" s="89">
        <v>425</v>
      </c>
      <c r="L20" s="120" t="s">
        <v>108</v>
      </c>
      <c r="N20" s="393" t="s">
        <v>85</v>
      </c>
      <c r="O20" s="55" t="s">
        <v>83</v>
      </c>
      <c r="P20" s="152">
        <f>P17</f>
        <v>0</v>
      </c>
      <c r="Q20" s="346"/>
      <c r="R20" s="393" t="s">
        <v>91</v>
      </c>
      <c r="S20" s="55" t="s">
        <v>83</v>
      </c>
      <c r="T20" s="152"/>
      <c r="U20" s="346"/>
      <c r="V20" s="393" t="s">
        <v>97</v>
      </c>
      <c r="W20" s="55" t="s">
        <v>83</v>
      </c>
      <c r="X20" s="152"/>
      <c r="Y20" s="120" t="s">
        <v>108</v>
      </c>
    </row>
    <row r="21" spans="1:25" x14ac:dyDescent="0.35">
      <c r="A21" s="335"/>
      <c r="B21" s="55" t="s">
        <v>84</v>
      </c>
      <c r="C21" s="89">
        <f>C17</f>
        <v>0</v>
      </c>
      <c r="D21" s="346"/>
      <c r="E21" s="335"/>
      <c r="F21" s="55" t="s">
        <v>84</v>
      </c>
      <c r="G21" s="89">
        <f>G17</f>
        <v>0</v>
      </c>
      <c r="H21" s="346"/>
      <c r="I21" s="335"/>
      <c r="J21" s="55" t="s">
        <v>84</v>
      </c>
      <c r="K21" s="89">
        <v>500</v>
      </c>
      <c r="L21" s="120" t="s">
        <v>108</v>
      </c>
      <c r="N21" s="393"/>
      <c r="O21" s="55" t="s">
        <v>84</v>
      </c>
      <c r="P21" s="152">
        <f>P17</f>
        <v>0</v>
      </c>
      <c r="Q21" s="346"/>
      <c r="R21" s="393"/>
      <c r="S21" s="55" t="s">
        <v>84</v>
      </c>
      <c r="T21" s="152"/>
      <c r="U21" s="346"/>
      <c r="V21" s="393"/>
      <c r="W21" s="55" t="s">
        <v>84</v>
      </c>
      <c r="X21" s="152"/>
      <c r="Y21" s="120" t="s">
        <v>108</v>
      </c>
    </row>
    <row r="22" spans="1:25" x14ac:dyDescent="0.35">
      <c r="A22" s="335" t="s">
        <v>86</v>
      </c>
      <c r="B22" s="55" t="s">
        <v>83</v>
      </c>
      <c r="C22" s="89">
        <f>C17</f>
        <v>0</v>
      </c>
      <c r="D22" s="346"/>
      <c r="E22" s="335" t="s">
        <v>92</v>
      </c>
      <c r="F22" s="55" t="s">
        <v>83</v>
      </c>
      <c r="G22" s="89">
        <f>G17</f>
        <v>0</v>
      </c>
      <c r="H22" s="346"/>
      <c r="I22" s="335" t="s">
        <v>98</v>
      </c>
      <c r="J22" s="55" t="s">
        <v>83</v>
      </c>
      <c r="K22" s="89">
        <f>K17</f>
        <v>0</v>
      </c>
      <c r="N22" s="393" t="s">
        <v>86</v>
      </c>
      <c r="O22" s="55" t="s">
        <v>83</v>
      </c>
      <c r="P22" s="152"/>
      <c r="Q22" s="346"/>
      <c r="R22" s="393" t="s">
        <v>92</v>
      </c>
      <c r="S22" s="55" t="s">
        <v>83</v>
      </c>
      <c r="T22" s="152"/>
      <c r="U22" s="346"/>
      <c r="V22" s="393" t="s">
        <v>98</v>
      </c>
      <c r="W22" s="55" t="s">
        <v>83</v>
      </c>
      <c r="X22" s="152"/>
    </row>
    <row r="23" spans="1:25" x14ac:dyDescent="0.35">
      <c r="A23" s="335"/>
      <c r="B23" s="55" t="s">
        <v>84</v>
      </c>
      <c r="C23" s="89">
        <f>C17</f>
        <v>0</v>
      </c>
      <c r="D23" s="346"/>
      <c r="E23" s="335"/>
      <c r="F23" s="55" t="s">
        <v>84</v>
      </c>
      <c r="G23" s="89">
        <f>G17</f>
        <v>0</v>
      </c>
      <c r="H23" s="346"/>
      <c r="I23" s="335"/>
      <c r="J23" s="55" t="s">
        <v>84</v>
      </c>
      <c r="K23" s="89">
        <f>K17</f>
        <v>0</v>
      </c>
      <c r="N23" s="393"/>
      <c r="O23" s="55" t="s">
        <v>84</v>
      </c>
      <c r="P23" s="152"/>
      <c r="Q23" s="346"/>
      <c r="R23" s="393"/>
      <c r="S23" s="55" t="s">
        <v>84</v>
      </c>
      <c r="T23" s="152"/>
      <c r="U23" s="346"/>
      <c r="V23" s="393"/>
      <c r="W23" s="55" t="s">
        <v>84</v>
      </c>
      <c r="X23" s="152"/>
    </row>
    <row r="24" spans="1:25" ht="18.600000000000001" thickBot="1" x14ac:dyDescent="0.4">
      <c r="A24" s="107" t="s">
        <v>87</v>
      </c>
      <c r="B24" s="108"/>
      <c r="C24" s="109">
        <f>C17</f>
        <v>0</v>
      </c>
      <c r="D24" s="346"/>
      <c r="E24" s="107" t="s">
        <v>93</v>
      </c>
      <c r="F24" s="91"/>
      <c r="G24" s="109">
        <f>G17</f>
        <v>0</v>
      </c>
      <c r="H24" s="346"/>
      <c r="I24" s="107" t="s">
        <v>99</v>
      </c>
      <c r="J24" s="91"/>
      <c r="K24" s="109">
        <f>K17</f>
        <v>0</v>
      </c>
      <c r="N24" s="259" t="s">
        <v>172</v>
      </c>
      <c r="O24" s="260" t="s">
        <v>84</v>
      </c>
      <c r="P24" s="262"/>
      <c r="Q24" s="346"/>
      <c r="R24" s="259" t="s">
        <v>174</v>
      </c>
      <c r="S24" s="260" t="s">
        <v>83</v>
      </c>
      <c r="T24" s="262"/>
      <c r="U24" s="346"/>
      <c r="V24" s="259" t="s">
        <v>176</v>
      </c>
      <c r="W24" s="260" t="s">
        <v>83</v>
      </c>
      <c r="X24" s="262"/>
    </row>
    <row r="25" spans="1:25" x14ac:dyDescent="0.35">
      <c r="A25" s="351" t="s">
        <v>106</v>
      </c>
      <c r="B25" s="110" t="s">
        <v>101</v>
      </c>
      <c r="C25" s="353">
        <f>SUM(C17:C24)</f>
        <v>0</v>
      </c>
      <c r="D25" s="346"/>
      <c r="E25" s="337" t="s">
        <v>106</v>
      </c>
      <c r="F25" s="112" t="s">
        <v>101</v>
      </c>
      <c r="G25" s="349">
        <f>SUM(G17:G24)</f>
        <v>0</v>
      </c>
      <c r="H25" s="346"/>
      <c r="I25" s="347" t="s">
        <v>106</v>
      </c>
      <c r="J25" s="114" t="s">
        <v>101</v>
      </c>
      <c r="K25" s="343">
        <f>SUM(K17:K24)</f>
        <v>1775</v>
      </c>
      <c r="N25" s="404" t="s">
        <v>106</v>
      </c>
      <c r="O25" s="124" t="s">
        <v>101</v>
      </c>
      <c r="P25" s="406">
        <f>SUM(P17:P24)</f>
        <v>0</v>
      </c>
      <c r="Q25" s="346"/>
      <c r="R25" s="408" t="s">
        <v>106</v>
      </c>
      <c r="S25" s="126" t="s">
        <v>101</v>
      </c>
      <c r="T25" s="410">
        <f>SUM(T17:T24)</f>
        <v>0</v>
      </c>
      <c r="U25" s="346"/>
      <c r="V25" s="412" t="s">
        <v>106</v>
      </c>
      <c r="W25" s="128" t="s">
        <v>101</v>
      </c>
      <c r="X25" s="418">
        <f>SUM(X17:X24)</f>
        <v>125</v>
      </c>
    </row>
    <row r="26" spans="1:25" ht="18.600000000000001" thickBot="1" x14ac:dyDescent="0.4">
      <c r="A26" s="352"/>
      <c r="B26" s="111">
        <v>12</v>
      </c>
      <c r="C26" s="354"/>
      <c r="D26" s="346"/>
      <c r="E26" s="338"/>
      <c r="F26" s="113">
        <v>12</v>
      </c>
      <c r="G26" s="350"/>
      <c r="H26" s="346"/>
      <c r="I26" s="348"/>
      <c r="J26" s="115">
        <v>12</v>
      </c>
      <c r="K26" s="344"/>
      <c r="N26" s="405"/>
      <c r="O26" s="125">
        <v>12</v>
      </c>
      <c r="P26" s="407"/>
      <c r="Q26" s="346"/>
      <c r="R26" s="409"/>
      <c r="S26" s="127">
        <v>12</v>
      </c>
      <c r="T26" s="411"/>
      <c r="U26" s="346"/>
      <c r="V26" s="413"/>
      <c r="W26" s="129">
        <v>12</v>
      </c>
      <c r="X26" s="419"/>
    </row>
    <row r="27" spans="1:25" ht="18.600000000000001" thickBot="1" x14ac:dyDescent="0.4">
      <c r="A27" s="137" t="s">
        <v>102</v>
      </c>
      <c r="B27" s="138"/>
      <c r="C27" s="139">
        <f>C25/B26</f>
        <v>0</v>
      </c>
      <c r="D27" s="346"/>
      <c r="E27" s="140" t="s">
        <v>107</v>
      </c>
      <c r="F27" s="141"/>
      <c r="G27" s="142">
        <f>G25/F26</f>
        <v>0</v>
      </c>
      <c r="H27" s="346"/>
      <c r="I27" s="143" t="s">
        <v>107</v>
      </c>
      <c r="J27" s="144"/>
      <c r="K27" s="145">
        <f>K25/J26</f>
        <v>147.91666666666666</v>
      </c>
      <c r="N27" s="396" t="s">
        <v>102</v>
      </c>
      <c r="O27" s="397"/>
      <c r="P27" s="131">
        <f>P25/O26</f>
        <v>0</v>
      </c>
      <c r="Q27" s="346"/>
      <c r="R27" s="398" t="s">
        <v>107</v>
      </c>
      <c r="S27" s="399"/>
      <c r="T27" s="132">
        <f>T25/S26</f>
        <v>0</v>
      </c>
      <c r="U27" s="346"/>
      <c r="V27" s="400" t="s">
        <v>107</v>
      </c>
      <c r="W27" s="401"/>
      <c r="X27" s="130">
        <f>X25/W26</f>
        <v>10.416666666666666</v>
      </c>
    </row>
    <row r="28" spans="1:25" x14ac:dyDescent="0.35">
      <c r="A28" s="95" t="s">
        <v>3</v>
      </c>
      <c r="B28" s="96"/>
      <c r="C28" s="96"/>
      <c r="D28" s="346"/>
      <c r="E28" s="95" t="s">
        <v>3</v>
      </c>
      <c r="F28" s="96"/>
      <c r="G28" s="96"/>
      <c r="H28" s="346"/>
      <c r="I28" s="95" t="s">
        <v>3</v>
      </c>
      <c r="J28" s="96"/>
      <c r="K28" s="96"/>
      <c r="N28" s="81" t="s">
        <v>3</v>
      </c>
      <c r="O28" s="96"/>
      <c r="P28" s="263"/>
      <c r="Q28" s="346"/>
      <c r="R28" s="81" t="s">
        <v>3</v>
      </c>
      <c r="S28" s="96"/>
      <c r="T28" s="263"/>
      <c r="U28" s="346"/>
      <c r="V28" s="81" t="s">
        <v>3</v>
      </c>
      <c r="W28" s="96"/>
      <c r="X28" s="263"/>
    </row>
    <row r="29" spans="1:25" x14ac:dyDescent="0.35">
      <c r="A29" s="99" t="s">
        <v>105</v>
      </c>
      <c r="B29" s="100">
        <v>7.2499999999999995E-2</v>
      </c>
      <c r="C29" s="89">
        <f>C27*B29</f>
        <v>0</v>
      </c>
      <c r="D29" s="346"/>
      <c r="E29" s="99" t="s">
        <v>105</v>
      </c>
      <c r="F29" s="100">
        <v>7.2499999999999995E-2</v>
      </c>
      <c r="G29" s="89">
        <f>G27*F29</f>
        <v>0</v>
      </c>
      <c r="H29" s="346"/>
      <c r="I29" s="99" t="s">
        <v>105</v>
      </c>
      <c r="J29" s="100">
        <v>7.2499999999999995E-2</v>
      </c>
      <c r="K29" s="89">
        <f>K27*J29</f>
        <v>10.723958333333332</v>
      </c>
      <c r="N29" s="264" t="s">
        <v>105</v>
      </c>
      <c r="O29" s="100">
        <v>7.2499999999999995E-2</v>
      </c>
      <c r="P29" s="152">
        <f>P27*O29</f>
        <v>0</v>
      </c>
      <c r="Q29" s="346"/>
      <c r="R29" s="264" t="s">
        <v>105</v>
      </c>
      <c r="S29" s="100">
        <v>7.2499999999999995E-2</v>
      </c>
      <c r="T29" s="152">
        <f>T27*S29</f>
        <v>0</v>
      </c>
      <c r="U29" s="346"/>
      <c r="V29" s="264" t="s">
        <v>105</v>
      </c>
      <c r="W29" s="100">
        <v>7.2499999999999995E-2</v>
      </c>
      <c r="X29" s="152">
        <f>X27*W29</f>
        <v>0.75520833333333326</v>
      </c>
    </row>
    <row r="30" spans="1:25" s="119" customFormat="1" ht="31.8" thickBot="1" x14ac:dyDescent="0.35">
      <c r="A30" s="116" t="s">
        <v>103</v>
      </c>
      <c r="B30" s="117"/>
      <c r="C30" s="118"/>
      <c r="D30" s="346"/>
      <c r="E30" s="116" t="s">
        <v>103</v>
      </c>
      <c r="F30" s="117"/>
      <c r="G30" s="118"/>
      <c r="H30" s="346"/>
      <c r="I30" s="116" t="s">
        <v>103</v>
      </c>
      <c r="J30" s="117"/>
      <c r="K30" s="118"/>
      <c r="N30" s="265" t="s">
        <v>103</v>
      </c>
      <c r="O30" s="133"/>
      <c r="P30" s="266"/>
      <c r="Q30" s="346"/>
      <c r="R30" s="265" t="s">
        <v>103</v>
      </c>
      <c r="S30" s="133"/>
      <c r="T30" s="266"/>
      <c r="U30" s="346"/>
      <c r="V30" s="265" t="s">
        <v>103</v>
      </c>
      <c r="W30" s="133"/>
      <c r="X30" s="266"/>
    </row>
    <row r="31" spans="1:25" ht="18.600000000000001" thickBot="1" x14ac:dyDescent="0.4">
      <c r="A31" s="339" t="s">
        <v>104</v>
      </c>
      <c r="B31" s="340"/>
      <c r="C31" s="93">
        <f>C27-C29</f>
        <v>0</v>
      </c>
      <c r="D31" s="346"/>
      <c r="E31" s="339" t="s">
        <v>104</v>
      </c>
      <c r="F31" s="340"/>
      <c r="G31" s="104">
        <f>G27-G29</f>
        <v>0</v>
      </c>
      <c r="H31" s="346"/>
      <c r="I31" s="339" t="s">
        <v>104</v>
      </c>
      <c r="J31" s="340"/>
      <c r="K31" s="106">
        <f>K27-K29</f>
        <v>137.19270833333331</v>
      </c>
      <c r="N31" s="402" t="s">
        <v>104</v>
      </c>
      <c r="O31" s="403"/>
      <c r="P31" s="135">
        <f>P27-P29</f>
        <v>0</v>
      </c>
      <c r="Q31" s="346"/>
      <c r="R31" s="402" t="s">
        <v>104</v>
      </c>
      <c r="S31" s="306"/>
      <c r="T31" s="134">
        <f>T27-T29</f>
        <v>0</v>
      </c>
      <c r="U31" s="346"/>
      <c r="V31" s="402" t="s">
        <v>104</v>
      </c>
      <c r="W31" s="403"/>
      <c r="X31" s="136">
        <f>X27-X29</f>
        <v>9.6614583333333321</v>
      </c>
    </row>
  </sheetData>
  <mergeCells count="94">
    <mergeCell ref="X25:X26"/>
    <mergeCell ref="V18:V19"/>
    <mergeCell ref="N20:N21"/>
    <mergeCell ref="R20:R21"/>
    <mergeCell ref="V20:V21"/>
    <mergeCell ref="N22:N23"/>
    <mergeCell ref="R22:R23"/>
    <mergeCell ref="V22:V23"/>
    <mergeCell ref="R18:R19"/>
    <mergeCell ref="T18:T19"/>
    <mergeCell ref="N15:O15"/>
    <mergeCell ref="N27:O27"/>
    <mergeCell ref="R27:S27"/>
    <mergeCell ref="V27:W27"/>
    <mergeCell ref="N31:O31"/>
    <mergeCell ref="R31:S31"/>
    <mergeCell ref="V31:W31"/>
    <mergeCell ref="N25:N26"/>
    <mergeCell ref="P25:P26"/>
    <mergeCell ref="R25:R26"/>
    <mergeCell ref="T25:T26"/>
    <mergeCell ref="V25:V26"/>
    <mergeCell ref="U15:U31"/>
    <mergeCell ref="V15:W15"/>
    <mergeCell ref="N18:N19"/>
    <mergeCell ref="P18:P19"/>
    <mergeCell ref="V5:V6"/>
    <mergeCell ref="N7:N8"/>
    <mergeCell ref="R7:R8"/>
    <mergeCell ref="V7:V8"/>
    <mergeCell ref="N9:N10"/>
    <mergeCell ref="R9:R10"/>
    <mergeCell ref="V9:V10"/>
    <mergeCell ref="R5:R6"/>
    <mergeCell ref="N13:X14"/>
    <mergeCell ref="R16:T16"/>
    <mergeCell ref="N16:P16"/>
    <mergeCell ref="V16:X16"/>
    <mergeCell ref="N1:X2"/>
    <mergeCell ref="N3:P3"/>
    <mergeCell ref="Q3:Q11"/>
    <mergeCell ref="R3:T3"/>
    <mergeCell ref="U3:U11"/>
    <mergeCell ref="V3:X3"/>
    <mergeCell ref="P4:P11"/>
    <mergeCell ref="T4:T11"/>
    <mergeCell ref="X4:X11"/>
    <mergeCell ref="N5:N6"/>
    <mergeCell ref="Q15:Q31"/>
    <mergeCell ref="R15:S15"/>
    <mergeCell ref="K4:K11"/>
    <mergeCell ref="A1:K2"/>
    <mergeCell ref="I3:K3"/>
    <mergeCell ref="A13:K14"/>
    <mergeCell ref="H3:H11"/>
    <mergeCell ref="E3:G3"/>
    <mergeCell ref="G4:G11"/>
    <mergeCell ref="A3:C3"/>
    <mergeCell ref="C4:C11"/>
    <mergeCell ref="D3:D11"/>
    <mergeCell ref="I5:I6"/>
    <mergeCell ref="I7:I8"/>
    <mergeCell ref="I9:I10"/>
    <mergeCell ref="A5:A6"/>
    <mergeCell ref="A7:A8"/>
    <mergeCell ref="A9:A10"/>
    <mergeCell ref="E31:F31"/>
    <mergeCell ref="C18:C19"/>
    <mergeCell ref="A15:B15"/>
    <mergeCell ref="K25:K26"/>
    <mergeCell ref="I31:J31"/>
    <mergeCell ref="I15:J15"/>
    <mergeCell ref="D15:D31"/>
    <mergeCell ref="H15:H31"/>
    <mergeCell ref="I25:I26"/>
    <mergeCell ref="A31:B31"/>
    <mergeCell ref="G18:G19"/>
    <mergeCell ref="G25:G26"/>
    <mergeCell ref="A25:A26"/>
    <mergeCell ref="C25:C26"/>
    <mergeCell ref="A20:A21"/>
    <mergeCell ref="E20:E21"/>
    <mergeCell ref="I20:I21"/>
    <mergeCell ref="A22:A23"/>
    <mergeCell ref="E22:E23"/>
    <mergeCell ref="I22:I23"/>
    <mergeCell ref="A18:A19"/>
    <mergeCell ref="E18:E19"/>
    <mergeCell ref="I18:I19"/>
    <mergeCell ref="E5:E6"/>
    <mergeCell ref="E7:E8"/>
    <mergeCell ref="E9:E10"/>
    <mergeCell ref="E15:F15"/>
    <mergeCell ref="E25:E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7FEA-086A-44F5-B267-8666C2F80C18}">
  <sheetPr>
    <tabColor rgb="FFFFCCFF"/>
  </sheetPr>
  <dimension ref="A1:J52"/>
  <sheetViews>
    <sheetView topLeftCell="G1" workbookViewId="0">
      <selection activeCell="L2" sqref="L1:W1048576"/>
    </sheetView>
  </sheetViews>
  <sheetFormatPr baseColWidth="10" defaultColWidth="11.44140625" defaultRowHeight="18" x14ac:dyDescent="0.35"/>
  <cols>
    <col min="1" max="1" width="4.6640625" style="33" customWidth="1"/>
    <col min="2" max="3" width="31.44140625" style="33" customWidth="1"/>
    <col min="4" max="4" width="17.88671875" style="33" customWidth="1"/>
    <col min="5" max="6" width="11.44140625" style="33"/>
    <col min="7" max="7" width="26.44140625" style="33" customWidth="1"/>
    <col min="8" max="9" width="19.5546875" style="33" customWidth="1"/>
    <col min="10" max="10" width="18" style="33" customWidth="1"/>
    <col min="11" max="16384" width="11.44140625" style="33"/>
  </cols>
  <sheetData>
    <row r="1" spans="1:10" ht="18.600000000000001" thickBot="1" x14ac:dyDescent="0.4">
      <c r="A1" s="420" t="s">
        <v>123</v>
      </c>
      <c r="B1" s="421"/>
      <c r="C1" s="421"/>
      <c r="D1" s="422"/>
      <c r="F1" s="420" t="s">
        <v>178</v>
      </c>
      <c r="G1" s="421"/>
      <c r="H1" s="421"/>
      <c r="I1" s="421"/>
      <c r="J1" s="422"/>
    </row>
    <row r="2" spans="1:10" x14ac:dyDescent="0.35">
      <c r="A2" s="79" t="s">
        <v>125</v>
      </c>
      <c r="B2" s="79" t="s">
        <v>101</v>
      </c>
      <c r="C2" s="79" t="s">
        <v>126</v>
      </c>
      <c r="D2" s="79"/>
      <c r="F2" s="79" t="s">
        <v>125</v>
      </c>
      <c r="G2" s="79" t="s">
        <v>101</v>
      </c>
      <c r="H2" s="79" t="s">
        <v>126</v>
      </c>
      <c r="I2" s="79" t="s">
        <v>108</v>
      </c>
      <c r="J2" s="79" t="s">
        <v>127</v>
      </c>
    </row>
    <row r="3" spans="1:10" x14ac:dyDescent="0.35">
      <c r="A3" s="37">
        <v>1</v>
      </c>
      <c r="B3" s="55" t="s">
        <v>111</v>
      </c>
      <c r="C3" s="42">
        <v>1200</v>
      </c>
      <c r="D3" s="42"/>
      <c r="F3" s="79">
        <v>1</v>
      </c>
      <c r="G3" s="96" t="s">
        <v>111</v>
      </c>
      <c r="H3" s="149">
        <v>1200</v>
      </c>
      <c r="I3" s="149"/>
      <c r="J3" s="42">
        <f>H3+I3</f>
        <v>1200</v>
      </c>
    </row>
    <row r="4" spans="1:10" x14ac:dyDescent="0.35">
      <c r="A4" s="37">
        <v>2</v>
      </c>
      <c r="B4" s="55" t="s">
        <v>112</v>
      </c>
      <c r="C4" s="149"/>
      <c r="D4" s="149"/>
      <c r="F4" s="37">
        <v>2</v>
      </c>
      <c r="G4" s="55" t="s">
        <v>112</v>
      </c>
      <c r="H4" s="149"/>
      <c r="I4" s="149">
        <v>200</v>
      </c>
      <c r="J4" s="42">
        <f t="shared" ref="J4:J13" si="0">H4+I4</f>
        <v>200</v>
      </c>
    </row>
    <row r="5" spans="1:10" x14ac:dyDescent="0.35">
      <c r="A5" s="37">
        <v>3</v>
      </c>
      <c r="B5" s="55" t="s">
        <v>113</v>
      </c>
      <c r="C5" s="149"/>
      <c r="D5" s="149"/>
      <c r="F5" s="37">
        <v>3</v>
      </c>
      <c r="G5" s="55" t="s">
        <v>113</v>
      </c>
      <c r="H5" s="149"/>
      <c r="I5" s="149"/>
      <c r="J5" s="42">
        <f t="shared" si="0"/>
        <v>0</v>
      </c>
    </row>
    <row r="6" spans="1:10" x14ac:dyDescent="0.35">
      <c r="A6" s="37">
        <v>4</v>
      </c>
      <c r="B6" s="55" t="s">
        <v>114</v>
      </c>
      <c r="C6" s="149"/>
      <c r="D6" s="149"/>
      <c r="F6" s="37">
        <v>4</v>
      </c>
      <c r="G6" s="55" t="s">
        <v>114</v>
      </c>
      <c r="H6" s="149"/>
      <c r="I6" s="149">
        <v>300</v>
      </c>
      <c r="J6" s="42">
        <f t="shared" si="0"/>
        <v>300</v>
      </c>
    </row>
    <row r="7" spans="1:10" x14ac:dyDescent="0.35">
      <c r="A7" s="37">
        <v>5</v>
      </c>
      <c r="B7" s="55" t="s">
        <v>115</v>
      </c>
      <c r="C7" s="149"/>
      <c r="D7" s="149"/>
      <c r="F7" s="37">
        <v>5</v>
      </c>
      <c r="G7" s="55" t="s">
        <v>115</v>
      </c>
      <c r="H7" s="149"/>
      <c r="I7" s="149"/>
      <c r="J7" s="42">
        <f t="shared" si="0"/>
        <v>0</v>
      </c>
    </row>
    <row r="8" spans="1:10" x14ac:dyDescent="0.35">
      <c r="A8" s="37">
        <v>6</v>
      </c>
      <c r="B8" s="55" t="s">
        <v>116</v>
      </c>
      <c r="C8" s="149"/>
      <c r="D8" s="149"/>
      <c r="F8" s="37">
        <v>6</v>
      </c>
      <c r="G8" s="55" t="s">
        <v>116</v>
      </c>
      <c r="H8" s="149"/>
      <c r="I8" s="149">
        <v>150</v>
      </c>
      <c r="J8" s="42">
        <f t="shared" si="0"/>
        <v>150</v>
      </c>
    </row>
    <row r="9" spans="1:10" x14ac:dyDescent="0.35">
      <c r="A9" s="37">
        <v>7</v>
      </c>
      <c r="B9" s="55" t="s">
        <v>117</v>
      </c>
      <c r="C9" s="149"/>
      <c r="D9" s="149"/>
      <c r="F9" s="37">
        <v>7</v>
      </c>
      <c r="G9" s="55" t="s">
        <v>117</v>
      </c>
      <c r="H9" s="149"/>
      <c r="I9" s="149"/>
      <c r="J9" s="42">
        <f t="shared" si="0"/>
        <v>0</v>
      </c>
    </row>
    <row r="10" spans="1:10" x14ac:dyDescent="0.35">
      <c r="A10" s="37">
        <v>8</v>
      </c>
      <c r="B10" s="55" t="s">
        <v>118</v>
      </c>
      <c r="C10" s="149"/>
      <c r="D10" s="149"/>
      <c r="F10" s="37">
        <v>8</v>
      </c>
      <c r="G10" s="55" t="s">
        <v>118</v>
      </c>
      <c r="H10" s="149"/>
      <c r="I10" s="149"/>
      <c r="J10" s="42">
        <f t="shared" si="0"/>
        <v>0</v>
      </c>
    </row>
    <row r="11" spans="1:10" x14ac:dyDescent="0.35">
      <c r="A11" s="37">
        <v>9</v>
      </c>
      <c r="B11" s="55" t="s">
        <v>119</v>
      </c>
      <c r="C11" s="149"/>
      <c r="D11" s="149"/>
      <c r="F11" s="37">
        <v>9</v>
      </c>
      <c r="G11" s="55" t="s">
        <v>119</v>
      </c>
      <c r="H11" s="149"/>
      <c r="I11" s="149">
        <v>200</v>
      </c>
      <c r="J11" s="42">
        <f t="shared" si="0"/>
        <v>200</v>
      </c>
    </row>
    <row r="12" spans="1:10" x14ac:dyDescent="0.35">
      <c r="A12" s="37">
        <v>10</v>
      </c>
      <c r="B12" s="55" t="s">
        <v>120</v>
      </c>
      <c r="C12" s="149"/>
      <c r="D12" s="149"/>
      <c r="F12" s="37">
        <v>10</v>
      </c>
      <c r="G12" s="55" t="s">
        <v>120</v>
      </c>
      <c r="H12" s="149"/>
      <c r="I12" s="149"/>
      <c r="J12" s="42">
        <f t="shared" si="0"/>
        <v>0</v>
      </c>
    </row>
    <row r="13" spans="1:10" ht="18.600000000000001" thickBot="1" x14ac:dyDescent="0.4">
      <c r="A13" s="148">
        <v>11</v>
      </c>
      <c r="B13" s="91" t="s">
        <v>121</v>
      </c>
      <c r="C13" s="158"/>
      <c r="D13" s="158"/>
      <c r="F13" s="148">
        <v>11</v>
      </c>
      <c r="G13" s="91" t="s">
        <v>121</v>
      </c>
      <c r="H13" s="158"/>
      <c r="I13" s="158"/>
      <c r="J13" s="42">
        <f t="shared" si="0"/>
        <v>0</v>
      </c>
    </row>
    <row r="14" spans="1:10" x14ac:dyDescent="0.35">
      <c r="A14" s="427"/>
      <c r="B14" s="159" t="s">
        <v>101</v>
      </c>
      <c r="C14" s="425">
        <f>SUM(C3:C13)</f>
        <v>1200</v>
      </c>
      <c r="D14" s="443"/>
      <c r="F14" s="427"/>
      <c r="G14" s="159" t="s">
        <v>101</v>
      </c>
      <c r="H14" s="425"/>
      <c r="I14" s="445"/>
      <c r="J14" s="429">
        <f>SUM(J3:J13)</f>
        <v>2050</v>
      </c>
    </row>
    <row r="15" spans="1:10" ht="18.600000000000001" thickBot="1" x14ac:dyDescent="0.4">
      <c r="A15" s="428"/>
      <c r="B15" s="39">
        <v>11</v>
      </c>
      <c r="C15" s="426"/>
      <c r="D15" s="444"/>
      <c r="F15" s="428"/>
      <c r="G15" s="39">
        <v>11</v>
      </c>
      <c r="H15" s="426"/>
      <c r="I15" s="446"/>
      <c r="J15" s="430"/>
    </row>
    <row r="16" spans="1:10" x14ac:dyDescent="0.35">
      <c r="A16" s="431" t="s">
        <v>110</v>
      </c>
      <c r="B16" s="432"/>
      <c r="C16" s="432"/>
      <c r="D16" s="434"/>
      <c r="F16" s="431" t="s">
        <v>110</v>
      </c>
      <c r="G16" s="432"/>
      <c r="H16" s="432"/>
      <c r="I16" s="433"/>
      <c r="J16" s="434"/>
    </row>
    <row r="17" spans="1:10" ht="18.600000000000001" thickBot="1" x14ac:dyDescent="0.4">
      <c r="A17" s="38">
        <v>12</v>
      </c>
      <c r="B17" s="435" t="s">
        <v>122</v>
      </c>
      <c r="C17" s="435"/>
      <c r="D17" s="151">
        <f>D14/B15</f>
        <v>0</v>
      </c>
      <c r="F17" s="38">
        <v>12</v>
      </c>
      <c r="G17" s="435" t="s">
        <v>122</v>
      </c>
      <c r="H17" s="435"/>
      <c r="I17" s="160"/>
      <c r="J17" s="151">
        <f>J14/G15</f>
        <v>186.36363636363637</v>
      </c>
    </row>
    <row r="18" spans="1:10" ht="18.75" customHeight="1" thickBot="1" x14ac:dyDescent="0.4">
      <c r="A18" s="440" t="s">
        <v>3</v>
      </c>
      <c r="B18" s="441"/>
      <c r="C18" s="441"/>
      <c r="D18" s="442"/>
      <c r="F18" s="440" t="s">
        <v>3</v>
      </c>
      <c r="G18" s="441"/>
      <c r="H18" s="441"/>
      <c r="I18" s="441"/>
      <c r="J18" s="442"/>
    </row>
    <row r="19" spans="1:10" x14ac:dyDescent="0.35">
      <c r="A19" s="436" t="s">
        <v>4</v>
      </c>
      <c r="B19" s="437"/>
      <c r="C19" s="150">
        <v>9.7500000000000003E-2</v>
      </c>
      <c r="D19" s="152">
        <f>D17*C19</f>
        <v>0</v>
      </c>
      <c r="F19" s="436" t="s">
        <v>4</v>
      </c>
      <c r="G19" s="437"/>
      <c r="H19" s="150">
        <v>9.7500000000000003E-2</v>
      </c>
      <c r="I19" s="161"/>
      <c r="J19" s="152">
        <f>J17*H19</f>
        <v>18.170454545454547</v>
      </c>
    </row>
    <row r="20" spans="1:10" x14ac:dyDescent="0.35">
      <c r="A20" s="436" t="s">
        <v>5</v>
      </c>
      <c r="B20" s="437"/>
      <c r="C20" s="150">
        <v>1.2500000000000001E-2</v>
      </c>
      <c r="D20" s="152">
        <f>D17*C20</f>
        <v>0</v>
      </c>
      <c r="F20" s="436" t="s">
        <v>5</v>
      </c>
      <c r="G20" s="437"/>
      <c r="H20" s="150">
        <v>1.2500000000000001E-2</v>
      </c>
      <c r="I20" s="161"/>
      <c r="J20" s="152">
        <f>J17*H20</f>
        <v>2.3295454545454546</v>
      </c>
    </row>
    <row r="21" spans="1:10" x14ac:dyDescent="0.35">
      <c r="A21" s="436" t="s">
        <v>60</v>
      </c>
      <c r="B21" s="437"/>
      <c r="C21" s="146"/>
      <c r="D21" s="153">
        <v>47.5</v>
      </c>
      <c r="F21" s="436" t="s">
        <v>60</v>
      </c>
      <c r="G21" s="437"/>
      <c r="H21" s="146"/>
      <c r="I21" s="147"/>
      <c r="J21" s="153">
        <v>47.5</v>
      </c>
    </row>
    <row r="22" spans="1:10" ht="55.5" customHeight="1" thickBot="1" x14ac:dyDescent="0.4">
      <c r="A22" s="438" t="s">
        <v>61</v>
      </c>
      <c r="B22" s="439"/>
      <c r="C22" s="154"/>
      <c r="D22" s="155">
        <v>400</v>
      </c>
      <c r="F22" s="438" t="s">
        <v>61</v>
      </c>
      <c r="G22" s="439"/>
      <c r="H22" s="154"/>
      <c r="I22" s="162"/>
      <c r="J22" s="155">
        <v>400</v>
      </c>
    </row>
    <row r="23" spans="1:10" ht="18.600000000000001" thickBot="1" x14ac:dyDescent="0.4">
      <c r="A23" s="423" t="s">
        <v>124</v>
      </c>
      <c r="B23" s="424"/>
      <c r="C23" s="156"/>
      <c r="D23" s="157">
        <f>D17-D19-D20-D21-D22</f>
        <v>-447.5</v>
      </c>
      <c r="F23" s="423" t="s">
        <v>124</v>
      </c>
      <c r="G23" s="424"/>
      <c r="H23" s="156"/>
      <c r="I23" s="163"/>
      <c r="J23" s="157">
        <f>J17-J19-J20-J21-J22</f>
        <v>-281.63636363636363</v>
      </c>
    </row>
    <row r="24" spans="1:10" x14ac:dyDescent="0.35">
      <c r="D24" s="98"/>
    </row>
    <row r="29" spans="1:10" ht="18.600000000000001" thickBot="1" x14ac:dyDescent="0.4"/>
    <row r="30" spans="1:10" ht="18.600000000000001" thickBot="1" x14ac:dyDescent="0.4">
      <c r="A30" s="329" t="s">
        <v>123</v>
      </c>
      <c r="B30" s="330"/>
      <c r="C30" s="330"/>
      <c r="D30" s="331"/>
      <c r="F30" s="402" t="s">
        <v>123</v>
      </c>
      <c r="G30" s="447"/>
      <c r="H30" s="447"/>
      <c r="I30" s="447"/>
      <c r="J30" s="331"/>
    </row>
    <row r="31" spans="1:10" x14ac:dyDescent="0.35">
      <c r="A31" s="37" t="s">
        <v>125</v>
      </c>
      <c r="B31" s="37" t="s">
        <v>101</v>
      </c>
      <c r="C31" s="37" t="s">
        <v>126</v>
      </c>
      <c r="D31" s="37"/>
      <c r="F31" s="37" t="s">
        <v>125</v>
      </c>
      <c r="G31" s="37" t="s">
        <v>101</v>
      </c>
      <c r="H31" s="37" t="s">
        <v>126</v>
      </c>
      <c r="I31" s="37" t="s">
        <v>108</v>
      </c>
      <c r="J31" s="37" t="s">
        <v>127</v>
      </c>
    </row>
    <row r="32" spans="1:10" x14ac:dyDescent="0.35">
      <c r="A32" s="37">
        <v>1</v>
      </c>
      <c r="B32" s="55" t="s">
        <v>111</v>
      </c>
      <c r="C32" s="42">
        <v>1200</v>
      </c>
      <c r="D32" s="42"/>
      <c r="F32" s="79">
        <v>1</v>
      </c>
      <c r="G32" s="96" t="s">
        <v>111</v>
      </c>
      <c r="H32" s="149">
        <v>1200</v>
      </c>
      <c r="I32" s="149"/>
      <c r="J32" s="42">
        <f>H32+I32</f>
        <v>1200</v>
      </c>
    </row>
    <row r="33" spans="1:10" x14ac:dyDescent="0.35">
      <c r="A33" s="37">
        <v>2</v>
      </c>
      <c r="B33" s="55" t="s">
        <v>112</v>
      </c>
      <c r="C33" s="149">
        <v>1200</v>
      </c>
      <c r="D33" s="149"/>
      <c r="F33" s="37">
        <v>2</v>
      </c>
      <c r="G33" s="55" t="s">
        <v>112</v>
      </c>
      <c r="H33" s="149">
        <v>1200</v>
      </c>
      <c r="I33" s="149">
        <v>200</v>
      </c>
      <c r="J33" s="42">
        <f t="shared" ref="J33:J42" si="1">H33+I33</f>
        <v>1400</v>
      </c>
    </row>
    <row r="34" spans="1:10" x14ac:dyDescent="0.35">
      <c r="A34" s="37">
        <v>3</v>
      </c>
      <c r="B34" s="55" t="s">
        <v>113</v>
      </c>
      <c r="C34" s="149">
        <v>1200</v>
      </c>
      <c r="D34" s="149"/>
      <c r="F34" s="37">
        <v>3</v>
      </c>
      <c r="G34" s="55" t="s">
        <v>113</v>
      </c>
      <c r="H34" s="149">
        <v>1200</v>
      </c>
      <c r="I34" s="149"/>
      <c r="J34" s="42">
        <f t="shared" si="1"/>
        <v>1200</v>
      </c>
    </row>
    <row r="35" spans="1:10" x14ac:dyDescent="0.35">
      <c r="A35" s="37">
        <v>4</v>
      </c>
      <c r="B35" s="55" t="s">
        <v>114</v>
      </c>
      <c r="C35" s="149">
        <v>1200</v>
      </c>
      <c r="D35" s="149"/>
      <c r="F35" s="37">
        <v>4</v>
      </c>
      <c r="G35" s="55" t="s">
        <v>114</v>
      </c>
      <c r="H35" s="149">
        <v>1200</v>
      </c>
      <c r="I35" s="149">
        <v>300</v>
      </c>
      <c r="J35" s="42">
        <f t="shared" si="1"/>
        <v>1500</v>
      </c>
    </row>
    <row r="36" spans="1:10" x14ac:dyDescent="0.35">
      <c r="A36" s="37">
        <v>5</v>
      </c>
      <c r="B36" s="55" t="s">
        <v>115</v>
      </c>
      <c r="C36" s="149">
        <v>1200</v>
      </c>
      <c r="D36" s="149"/>
      <c r="F36" s="37">
        <v>5</v>
      </c>
      <c r="G36" s="55" t="s">
        <v>115</v>
      </c>
      <c r="H36" s="149">
        <v>1200</v>
      </c>
      <c r="I36" s="149"/>
      <c r="J36" s="42">
        <f t="shared" si="1"/>
        <v>1200</v>
      </c>
    </row>
    <row r="37" spans="1:10" x14ac:dyDescent="0.35">
      <c r="A37" s="37">
        <v>6</v>
      </c>
      <c r="B37" s="55" t="s">
        <v>116</v>
      </c>
      <c r="C37" s="149">
        <v>1200</v>
      </c>
      <c r="D37" s="149"/>
      <c r="F37" s="37">
        <v>6</v>
      </c>
      <c r="G37" s="55" t="s">
        <v>116</v>
      </c>
      <c r="H37" s="149">
        <v>1200</v>
      </c>
      <c r="I37" s="149">
        <v>150</v>
      </c>
      <c r="J37" s="42">
        <f t="shared" si="1"/>
        <v>1350</v>
      </c>
    </row>
    <row r="38" spans="1:10" x14ac:dyDescent="0.35">
      <c r="A38" s="37">
        <v>7</v>
      </c>
      <c r="B38" s="55" t="s">
        <v>117</v>
      </c>
      <c r="C38" s="149">
        <v>1200</v>
      </c>
      <c r="D38" s="149"/>
      <c r="F38" s="37">
        <v>7</v>
      </c>
      <c r="G38" s="55" t="s">
        <v>117</v>
      </c>
      <c r="H38" s="149">
        <v>1200</v>
      </c>
      <c r="I38" s="149"/>
      <c r="J38" s="42">
        <f t="shared" si="1"/>
        <v>1200</v>
      </c>
    </row>
    <row r="39" spans="1:10" x14ac:dyDescent="0.35">
      <c r="A39" s="37">
        <v>8</v>
      </c>
      <c r="B39" s="55" t="s">
        <v>118</v>
      </c>
      <c r="C39" s="149">
        <v>1200</v>
      </c>
      <c r="D39" s="149"/>
      <c r="F39" s="37">
        <v>8</v>
      </c>
      <c r="G39" s="55" t="s">
        <v>118</v>
      </c>
      <c r="H39" s="149">
        <v>1200</v>
      </c>
      <c r="I39" s="149"/>
      <c r="J39" s="42">
        <f t="shared" si="1"/>
        <v>1200</v>
      </c>
    </row>
    <row r="40" spans="1:10" x14ac:dyDescent="0.35">
      <c r="A40" s="37">
        <v>9</v>
      </c>
      <c r="B40" s="55" t="s">
        <v>119</v>
      </c>
      <c r="C40" s="149">
        <v>1200</v>
      </c>
      <c r="D40" s="149"/>
      <c r="F40" s="37">
        <v>9</v>
      </c>
      <c r="G40" s="55" t="s">
        <v>119</v>
      </c>
      <c r="H40" s="149">
        <v>1200</v>
      </c>
      <c r="I40" s="149">
        <v>200</v>
      </c>
      <c r="J40" s="42">
        <f t="shared" si="1"/>
        <v>1400</v>
      </c>
    </row>
    <row r="41" spans="1:10" x14ac:dyDescent="0.35">
      <c r="A41" s="37">
        <v>10</v>
      </c>
      <c r="B41" s="55" t="s">
        <v>120</v>
      </c>
      <c r="C41" s="149">
        <v>1200</v>
      </c>
      <c r="D41" s="149"/>
      <c r="F41" s="37">
        <v>10</v>
      </c>
      <c r="G41" s="55" t="s">
        <v>120</v>
      </c>
      <c r="H41" s="149">
        <v>1200</v>
      </c>
      <c r="I41" s="149"/>
      <c r="J41" s="42">
        <f t="shared" si="1"/>
        <v>1200</v>
      </c>
    </row>
    <row r="42" spans="1:10" ht="18.600000000000001" thickBot="1" x14ac:dyDescent="0.4">
      <c r="A42" s="148">
        <v>11</v>
      </c>
      <c r="B42" s="91" t="s">
        <v>121</v>
      </c>
      <c r="C42" s="158">
        <v>1200</v>
      </c>
      <c r="D42" s="158"/>
      <c r="F42" s="148">
        <v>11</v>
      </c>
      <c r="G42" s="91" t="s">
        <v>121</v>
      </c>
      <c r="H42" s="158">
        <v>1200</v>
      </c>
      <c r="I42" s="158"/>
      <c r="J42" s="42">
        <f t="shared" si="1"/>
        <v>1200</v>
      </c>
    </row>
    <row r="43" spans="1:10" x14ac:dyDescent="0.35">
      <c r="A43" s="427"/>
      <c r="B43" s="159" t="s">
        <v>101</v>
      </c>
      <c r="C43" s="425">
        <f>SUM(C32:C42)</f>
        <v>13200</v>
      </c>
      <c r="D43" s="443"/>
      <c r="F43" s="427"/>
      <c r="G43" s="159" t="s">
        <v>101</v>
      </c>
      <c r="H43" s="425"/>
      <c r="I43" s="445"/>
      <c r="J43" s="429">
        <f>SUM(J32:J42)</f>
        <v>14050</v>
      </c>
    </row>
    <row r="44" spans="1:10" ht="18.600000000000001" thickBot="1" x14ac:dyDescent="0.4">
      <c r="A44" s="428"/>
      <c r="B44" s="39">
        <v>11</v>
      </c>
      <c r="C44" s="426"/>
      <c r="D44" s="444"/>
      <c r="F44" s="428"/>
      <c r="G44" s="39">
        <v>11</v>
      </c>
      <c r="H44" s="426"/>
      <c r="I44" s="446"/>
      <c r="J44" s="430"/>
    </row>
    <row r="45" spans="1:10" x14ac:dyDescent="0.35">
      <c r="A45" s="431" t="s">
        <v>110</v>
      </c>
      <c r="B45" s="432"/>
      <c r="C45" s="432"/>
      <c r="D45" s="434"/>
      <c r="F45" s="431" t="s">
        <v>110</v>
      </c>
      <c r="G45" s="432"/>
      <c r="H45" s="432"/>
      <c r="I45" s="433"/>
      <c r="J45" s="434"/>
    </row>
    <row r="46" spans="1:10" ht="18.600000000000001" thickBot="1" x14ac:dyDescent="0.4">
      <c r="A46" s="38">
        <v>12</v>
      </c>
      <c r="B46" s="435" t="s">
        <v>122</v>
      </c>
      <c r="C46" s="435"/>
      <c r="D46" s="151">
        <f>D43/B44</f>
        <v>0</v>
      </c>
      <c r="F46" s="38">
        <v>12</v>
      </c>
      <c r="G46" s="435" t="s">
        <v>122</v>
      </c>
      <c r="H46" s="435"/>
      <c r="I46" s="160"/>
      <c r="J46" s="151">
        <f>J43/G44</f>
        <v>1277.2727272727273</v>
      </c>
    </row>
    <row r="47" spans="1:10" ht="18.600000000000001" thickBot="1" x14ac:dyDescent="0.4">
      <c r="A47" s="440" t="s">
        <v>3</v>
      </c>
      <c r="B47" s="441"/>
      <c r="C47" s="441"/>
      <c r="D47" s="442"/>
      <c r="F47" s="440" t="s">
        <v>3</v>
      </c>
      <c r="G47" s="441"/>
      <c r="H47" s="441"/>
      <c r="I47" s="441"/>
      <c r="J47" s="442"/>
    </row>
    <row r="48" spans="1:10" x14ac:dyDescent="0.35">
      <c r="A48" s="436" t="s">
        <v>4</v>
      </c>
      <c r="B48" s="437"/>
      <c r="C48" s="150">
        <v>9.7500000000000003E-2</v>
      </c>
      <c r="D48" s="152">
        <f>D46*C48</f>
        <v>0</v>
      </c>
      <c r="F48" s="436" t="s">
        <v>4</v>
      </c>
      <c r="G48" s="437"/>
      <c r="H48" s="150">
        <v>9.7500000000000003E-2</v>
      </c>
      <c r="I48" s="161"/>
      <c r="J48" s="152">
        <f>J46*H48</f>
        <v>124.53409090909091</v>
      </c>
    </row>
    <row r="49" spans="1:10" x14ac:dyDescent="0.35">
      <c r="A49" s="436" t="s">
        <v>5</v>
      </c>
      <c r="B49" s="437"/>
      <c r="C49" s="150">
        <v>1.2500000000000001E-2</v>
      </c>
      <c r="D49" s="152">
        <f>D46*C49</f>
        <v>0</v>
      </c>
      <c r="F49" s="436" t="s">
        <v>5</v>
      </c>
      <c r="G49" s="437"/>
      <c r="H49" s="150">
        <v>1.2500000000000001E-2</v>
      </c>
      <c r="I49" s="161"/>
      <c r="J49" s="152">
        <f>J46*H49</f>
        <v>15.965909090909092</v>
      </c>
    </row>
    <row r="50" spans="1:10" x14ac:dyDescent="0.35">
      <c r="A50" s="436" t="s">
        <v>60</v>
      </c>
      <c r="B50" s="437"/>
      <c r="C50" s="146"/>
      <c r="D50" s="153">
        <v>47.5</v>
      </c>
      <c r="F50" s="436" t="s">
        <v>60</v>
      </c>
      <c r="G50" s="437"/>
      <c r="H50" s="146"/>
      <c r="I50" s="147"/>
      <c r="J50" s="153">
        <v>47.5</v>
      </c>
    </row>
    <row r="51" spans="1:10" ht="18.600000000000001" thickBot="1" x14ac:dyDescent="0.4">
      <c r="A51" s="438" t="s">
        <v>61</v>
      </c>
      <c r="B51" s="439"/>
      <c r="C51" s="154"/>
      <c r="D51" s="155">
        <v>400</v>
      </c>
      <c r="F51" s="438" t="s">
        <v>61</v>
      </c>
      <c r="G51" s="439"/>
      <c r="H51" s="154"/>
      <c r="I51" s="162"/>
      <c r="J51" s="155">
        <v>400</v>
      </c>
    </row>
    <row r="52" spans="1:10" ht="18.600000000000001" thickBot="1" x14ac:dyDescent="0.4">
      <c r="A52" s="423" t="s">
        <v>124</v>
      </c>
      <c r="B52" s="424"/>
      <c r="C52" s="156"/>
      <c r="D52" s="157">
        <f>D46-D48-D49-D50-D51</f>
        <v>-447.5</v>
      </c>
      <c r="F52" s="423" t="s">
        <v>124</v>
      </c>
      <c r="G52" s="424"/>
      <c r="H52" s="156"/>
      <c r="I52" s="163"/>
      <c r="J52" s="157">
        <f>J46-J48-J49-J50-J51</f>
        <v>689.27272727272725</v>
      </c>
    </row>
  </sheetData>
  <mergeCells count="50">
    <mergeCell ref="A52:B52"/>
    <mergeCell ref="F52:G52"/>
    <mergeCell ref="A51:B51"/>
    <mergeCell ref="F51:G51"/>
    <mergeCell ref="H43:H44"/>
    <mergeCell ref="I43:I44"/>
    <mergeCell ref="J43:J44"/>
    <mergeCell ref="A48:B48"/>
    <mergeCell ref="F48:G48"/>
    <mergeCell ref="A49:B49"/>
    <mergeCell ref="F49:G49"/>
    <mergeCell ref="A50:B50"/>
    <mergeCell ref="F50:G50"/>
    <mergeCell ref="A45:D45"/>
    <mergeCell ref="F45:J45"/>
    <mergeCell ref="B46:C46"/>
    <mergeCell ref="G46:H46"/>
    <mergeCell ref="A47:D47"/>
    <mergeCell ref="F47:J47"/>
    <mergeCell ref="I14:I15"/>
    <mergeCell ref="A30:D30"/>
    <mergeCell ref="F30:J30"/>
    <mergeCell ref="A43:A44"/>
    <mergeCell ref="C43:C44"/>
    <mergeCell ref="D43:D44"/>
    <mergeCell ref="F43:F44"/>
    <mergeCell ref="F18:J18"/>
    <mergeCell ref="F19:G19"/>
    <mergeCell ref="A19:B19"/>
    <mergeCell ref="A20:B20"/>
    <mergeCell ref="F20:G20"/>
    <mergeCell ref="F21:G21"/>
    <mergeCell ref="F22:G22"/>
    <mergeCell ref="F23:G23"/>
    <mergeCell ref="A1:D1"/>
    <mergeCell ref="A23:B23"/>
    <mergeCell ref="C14:C15"/>
    <mergeCell ref="F1:J1"/>
    <mergeCell ref="F14:F15"/>
    <mergeCell ref="H14:H15"/>
    <mergeCell ref="J14:J15"/>
    <mergeCell ref="F16:J16"/>
    <mergeCell ref="G17:H17"/>
    <mergeCell ref="A21:B21"/>
    <mergeCell ref="A22:B22"/>
    <mergeCell ref="A18:D18"/>
    <mergeCell ref="A14:A15"/>
    <mergeCell ref="D14:D15"/>
    <mergeCell ref="B17:C17"/>
    <mergeCell ref="A16:D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8E74-51CA-4CF0-B941-20BBB5AD8109}">
  <dimension ref="A1:W39"/>
  <sheetViews>
    <sheetView tabSelected="1" topLeftCell="A15" workbookViewId="0">
      <selection activeCell="D34" sqref="D34"/>
    </sheetView>
  </sheetViews>
  <sheetFormatPr baseColWidth="10" defaultColWidth="24.109375" defaultRowHeight="13.2" x14ac:dyDescent="0.25"/>
  <cols>
    <col min="1" max="1" width="13.88671875" style="164" customWidth="1"/>
    <col min="2" max="2" width="24.109375" style="164"/>
    <col min="3" max="3" width="18.5546875" style="164" customWidth="1"/>
    <col min="4" max="4" width="24.109375" style="164"/>
    <col min="5" max="5" width="14" style="164" customWidth="1"/>
    <col min="6" max="6" width="12.88671875" style="164" customWidth="1"/>
    <col min="7" max="7" width="12.6640625" style="164" customWidth="1"/>
    <col min="8" max="8" width="14.5546875" style="191" customWidth="1"/>
    <col min="9" max="9" width="16.44140625" style="164" customWidth="1"/>
    <col min="10" max="10" width="10.88671875" style="164" customWidth="1"/>
    <col min="11" max="11" width="9.6640625" style="164" customWidth="1"/>
    <col min="12" max="12" width="14.88671875" style="164" customWidth="1"/>
    <col min="13" max="14" width="17" style="164" customWidth="1"/>
    <col min="15" max="15" width="15.109375" style="164" customWidth="1"/>
    <col min="16" max="16" width="14.88671875" style="164" customWidth="1"/>
    <col min="17" max="17" width="21.109375" style="164" customWidth="1"/>
    <col min="18" max="20" width="14.88671875" style="164" customWidth="1"/>
    <col min="21" max="21" width="30.88671875" style="189" customWidth="1"/>
    <col min="22" max="16384" width="24.109375" style="164"/>
  </cols>
  <sheetData>
    <row r="1" spans="1:21" ht="15.6" x14ac:dyDescent="0.3">
      <c r="A1" s="448" t="s">
        <v>128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50"/>
    </row>
    <row r="2" spans="1:21" ht="13.8" x14ac:dyDescent="0.25">
      <c r="A2" s="451" t="s">
        <v>129</v>
      </c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3"/>
    </row>
    <row r="3" spans="1:21" ht="14.4" thickBot="1" x14ac:dyDescent="0.3">
      <c r="A3" s="454" t="s">
        <v>179</v>
      </c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5"/>
      <c r="M3" s="455"/>
      <c r="N3" s="455"/>
      <c r="O3" s="455"/>
      <c r="P3" s="455"/>
      <c r="Q3" s="455"/>
      <c r="R3" s="455"/>
      <c r="S3" s="455"/>
      <c r="T3" s="455"/>
      <c r="U3" s="456"/>
    </row>
    <row r="4" spans="1:21" ht="72.599999999999994" thickBot="1" x14ac:dyDescent="0.3">
      <c r="A4" s="165" t="s">
        <v>130</v>
      </c>
      <c r="B4" s="166" t="s">
        <v>131</v>
      </c>
      <c r="C4" s="166" t="s">
        <v>132</v>
      </c>
      <c r="D4" s="166" t="s">
        <v>4</v>
      </c>
      <c r="E4" s="166" t="s">
        <v>133</v>
      </c>
      <c r="F4" s="165" t="s">
        <v>10</v>
      </c>
      <c r="G4" s="165" t="s">
        <v>134</v>
      </c>
      <c r="H4" s="165" t="s">
        <v>149</v>
      </c>
      <c r="I4" s="165" t="s">
        <v>150</v>
      </c>
      <c r="J4" s="165" t="s">
        <v>151</v>
      </c>
      <c r="K4" s="165" t="s">
        <v>152</v>
      </c>
      <c r="L4" s="165" t="s">
        <v>135</v>
      </c>
      <c r="M4" s="204" t="s">
        <v>153</v>
      </c>
      <c r="N4" s="167" t="s">
        <v>154</v>
      </c>
      <c r="O4" s="165" t="s">
        <v>155</v>
      </c>
      <c r="P4" s="165" t="s">
        <v>137</v>
      </c>
      <c r="Q4" s="213" t="s">
        <v>156</v>
      </c>
      <c r="R4" s="213" t="s">
        <v>161</v>
      </c>
      <c r="S4" s="213" t="s">
        <v>162</v>
      </c>
      <c r="T4" s="213" t="s">
        <v>163</v>
      </c>
      <c r="U4" s="168" t="s">
        <v>156</v>
      </c>
    </row>
    <row r="5" spans="1:21" ht="13.8" x14ac:dyDescent="0.3">
      <c r="A5" s="169">
        <v>1</v>
      </c>
      <c r="B5" s="170"/>
      <c r="C5" s="171"/>
      <c r="D5" s="171"/>
      <c r="E5" s="172"/>
      <c r="F5" s="173">
        <v>1000</v>
      </c>
      <c r="G5" s="173">
        <f>F5/2</f>
        <v>500</v>
      </c>
      <c r="H5" s="172">
        <v>200</v>
      </c>
      <c r="I5" s="173">
        <f>G5+H5</f>
        <v>700</v>
      </c>
      <c r="J5" s="173">
        <f>I5*9.75%</f>
        <v>68.25</v>
      </c>
      <c r="K5" s="173">
        <f>I5*1.25%</f>
        <v>8.75</v>
      </c>
      <c r="L5" s="173"/>
      <c r="M5" s="173">
        <f>I5*30%</f>
        <v>210</v>
      </c>
      <c r="N5" s="173">
        <f>I5*20%</f>
        <v>140</v>
      </c>
      <c r="O5" s="173">
        <f>M5+N5</f>
        <v>350</v>
      </c>
      <c r="P5" s="173">
        <f>I5-J5-K5-O5</f>
        <v>273</v>
      </c>
      <c r="Q5" s="214" t="s">
        <v>164</v>
      </c>
      <c r="R5" s="214">
        <v>250</v>
      </c>
      <c r="S5" s="214">
        <f>R5*7.25%</f>
        <v>18.125</v>
      </c>
      <c r="T5" s="214">
        <f>R5-S5</f>
        <v>231.875</v>
      </c>
      <c r="U5" s="174" t="s">
        <v>157</v>
      </c>
    </row>
    <row r="6" spans="1:21" ht="13.8" x14ac:dyDescent="0.3">
      <c r="A6" s="175">
        <f>+A5+1</f>
        <v>2</v>
      </c>
      <c r="B6" s="176"/>
      <c r="C6" s="177"/>
      <c r="D6" s="177"/>
      <c r="E6" s="178"/>
      <c r="F6" s="179"/>
      <c r="G6" s="173">
        <f t="shared" ref="G6:G22" si="0">F6/2</f>
        <v>0</v>
      </c>
      <c r="H6" s="178"/>
      <c r="I6" s="173">
        <f t="shared" ref="I6:I22" si="1">G6+H6</f>
        <v>0</v>
      </c>
      <c r="J6" s="173">
        <f t="shared" ref="J6:J22" si="2">I6*9.75%</f>
        <v>0</v>
      </c>
      <c r="K6" s="173">
        <f t="shared" ref="K6:K22" si="3">I6*1.25%</f>
        <v>0</v>
      </c>
      <c r="L6" s="179"/>
      <c r="M6" s="173">
        <f t="shared" ref="M6:M22" si="4">I6*30%</f>
        <v>0</v>
      </c>
      <c r="N6" s="173">
        <f t="shared" ref="N6:N22" si="5">I6*20%</f>
        <v>0</v>
      </c>
      <c r="O6" s="173">
        <f t="shared" ref="O6:O22" si="6">M6+N6</f>
        <v>0</v>
      </c>
      <c r="P6" s="173">
        <f t="shared" ref="P6:P22" si="7">I6-J6-K6-O6</f>
        <v>0</v>
      </c>
      <c r="Q6" s="214"/>
      <c r="R6" s="214"/>
      <c r="S6" s="214">
        <f t="shared" ref="S6:S22" si="8">R6*7.25%</f>
        <v>0</v>
      </c>
      <c r="T6" s="214">
        <f t="shared" ref="T6:T22" si="9">R6-S6</f>
        <v>0</v>
      </c>
      <c r="U6" s="180"/>
    </row>
    <row r="7" spans="1:21" ht="13.8" x14ac:dyDescent="0.3">
      <c r="A7" s="175">
        <f t="shared" ref="A7:A22" si="10">+A6+1</f>
        <v>3</v>
      </c>
      <c r="B7" s="176"/>
      <c r="C7" s="177"/>
      <c r="D7" s="177"/>
      <c r="E7" s="178"/>
      <c r="F7" s="179"/>
      <c r="G7" s="173">
        <f t="shared" si="0"/>
        <v>0</v>
      </c>
      <c r="H7" s="178"/>
      <c r="I7" s="173">
        <f t="shared" si="1"/>
        <v>0</v>
      </c>
      <c r="J7" s="173">
        <f t="shared" si="2"/>
        <v>0</v>
      </c>
      <c r="K7" s="173">
        <f t="shared" si="3"/>
        <v>0</v>
      </c>
      <c r="L7" s="179"/>
      <c r="M7" s="173">
        <f t="shared" si="4"/>
        <v>0</v>
      </c>
      <c r="N7" s="173">
        <f t="shared" si="5"/>
        <v>0</v>
      </c>
      <c r="O7" s="173">
        <f t="shared" si="6"/>
        <v>0</v>
      </c>
      <c r="P7" s="173">
        <f t="shared" si="7"/>
        <v>0</v>
      </c>
      <c r="Q7" s="214"/>
      <c r="R7" s="214"/>
      <c r="S7" s="214">
        <f t="shared" si="8"/>
        <v>0</v>
      </c>
      <c r="T7" s="214">
        <f t="shared" si="9"/>
        <v>0</v>
      </c>
      <c r="U7" s="180"/>
    </row>
    <row r="8" spans="1:21" ht="13.8" x14ac:dyDescent="0.3">
      <c r="A8" s="175">
        <f t="shared" si="10"/>
        <v>4</v>
      </c>
      <c r="B8" s="176"/>
      <c r="C8" s="177"/>
      <c r="D8" s="177"/>
      <c r="E8" s="178"/>
      <c r="F8" s="179"/>
      <c r="G8" s="173">
        <f t="shared" si="0"/>
        <v>0</v>
      </c>
      <c r="H8" s="178"/>
      <c r="I8" s="173">
        <f t="shared" si="1"/>
        <v>0</v>
      </c>
      <c r="J8" s="173">
        <f t="shared" si="2"/>
        <v>0</v>
      </c>
      <c r="K8" s="173">
        <f t="shared" si="3"/>
        <v>0</v>
      </c>
      <c r="L8" s="179"/>
      <c r="M8" s="173">
        <f t="shared" si="4"/>
        <v>0</v>
      </c>
      <c r="N8" s="173">
        <f t="shared" si="5"/>
        <v>0</v>
      </c>
      <c r="O8" s="173">
        <f t="shared" si="6"/>
        <v>0</v>
      </c>
      <c r="P8" s="173">
        <f t="shared" si="7"/>
        <v>0</v>
      </c>
      <c r="Q8" s="215"/>
      <c r="R8" s="215"/>
      <c r="S8" s="214">
        <f t="shared" si="8"/>
        <v>0</v>
      </c>
      <c r="T8" s="214">
        <f t="shared" si="9"/>
        <v>0</v>
      </c>
      <c r="U8" s="181"/>
    </row>
    <row r="9" spans="1:21" ht="13.8" x14ac:dyDescent="0.3">
      <c r="A9" s="175">
        <f t="shared" si="10"/>
        <v>5</v>
      </c>
      <c r="B9" s="176"/>
      <c r="C9" s="177"/>
      <c r="D9" s="177"/>
      <c r="E9" s="178"/>
      <c r="F9" s="179">
        <v>250</v>
      </c>
      <c r="G9" s="173">
        <f t="shared" si="0"/>
        <v>125</v>
      </c>
      <c r="H9" s="178">
        <v>100</v>
      </c>
      <c r="I9" s="173">
        <f t="shared" si="1"/>
        <v>225</v>
      </c>
      <c r="J9" s="173">
        <f t="shared" si="2"/>
        <v>21.9375</v>
      </c>
      <c r="K9" s="173">
        <f t="shared" si="3"/>
        <v>2.8125</v>
      </c>
      <c r="L9" s="179"/>
      <c r="M9" s="173">
        <f t="shared" si="4"/>
        <v>67.5</v>
      </c>
      <c r="N9" s="173">
        <f t="shared" si="5"/>
        <v>45</v>
      </c>
      <c r="O9" s="173">
        <f t="shared" si="6"/>
        <v>112.5</v>
      </c>
      <c r="P9" s="173">
        <f t="shared" si="7"/>
        <v>87.75</v>
      </c>
      <c r="Q9" s="214"/>
      <c r="R9" s="214"/>
      <c r="S9" s="214">
        <f t="shared" si="8"/>
        <v>0</v>
      </c>
      <c r="T9" s="214">
        <f t="shared" si="9"/>
        <v>0</v>
      </c>
      <c r="U9" s="180"/>
    </row>
    <row r="10" spans="1:21" ht="13.8" x14ac:dyDescent="0.3">
      <c r="A10" s="175">
        <f t="shared" si="10"/>
        <v>6</v>
      </c>
      <c r="B10" s="176"/>
      <c r="C10" s="177"/>
      <c r="D10" s="177"/>
      <c r="E10" s="178"/>
      <c r="F10" s="179"/>
      <c r="G10" s="173">
        <f t="shared" si="0"/>
        <v>0</v>
      </c>
      <c r="H10" s="178"/>
      <c r="I10" s="173">
        <f t="shared" si="1"/>
        <v>0</v>
      </c>
      <c r="J10" s="173">
        <f t="shared" si="2"/>
        <v>0</v>
      </c>
      <c r="K10" s="173">
        <f t="shared" si="3"/>
        <v>0</v>
      </c>
      <c r="L10" s="179"/>
      <c r="M10" s="173">
        <f t="shared" si="4"/>
        <v>0</v>
      </c>
      <c r="N10" s="173">
        <f t="shared" si="5"/>
        <v>0</v>
      </c>
      <c r="O10" s="173">
        <f t="shared" si="6"/>
        <v>0</v>
      </c>
      <c r="P10" s="173">
        <f t="shared" si="7"/>
        <v>0</v>
      </c>
      <c r="Q10" s="214"/>
      <c r="R10" s="214"/>
      <c r="S10" s="214">
        <f t="shared" si="8"/>
        <v>0</v>
      </c>
      <c r="T10" s="214">
        <f t="shared" si="9"/>
        <v>0</v>
      </c>
      <c r="U10" s="180"/>
    </row>
    <row r="11" spans="1:21" ht="13.8" x14ac:dyDescent="0.3">
      <c r="A11" s="175">
        <f t="shared" si="10"/>
        <v>7</v>
      </c>
      <c r="B11" s="176"/>
      <c r="C11" s="177"/>
      <c r="D11" s="177"/>
      <c r="E11" s="178"/>
      <c r="F11" s="179"/>
      <c r="G11" s="173">
        <f t="shared" si="0"/>
        <v>0</v>
      </c>
      <c r="H11" s="178"/>
      <c r="I11" s="173">
        <f t="shared" si="1"/>
        <v>0</v>
      </c>
      <c r="J11" s="173">
        <f t="shared" si="2"/>
        <v>0</v>
      </c>
      <c r="K11" s="173">
        <f t="shared" si="3"/>
        <v>0</v>
      </c>
      <c r="L11" s="179"/>
      <c r="M11" s="173">
        <f t="shared" si="4"/>
        <v>0</v>
      </c>
      <c r="N11" s="173">
        <f t="shared" si="5"/>
        <v>0</v>
      </c>
      <c r="O11" s="173">
        <f t="shared" si="6"/>
        <v>0</v>
      </c>
      <c r="P11" s="173">
        <f t="shared" si="7"/>
        <v>0</v>
      </c>
      <c r="Q11" s="214"/>
      <c r="R11" s="214"/>
      <c r="S11" s="214">
        <f t="shared" si="8"/>
        <v>0</v>
      </c>
      <c r="T11" s="214">
        <f t="shared" si="9"/>
        <v>0</v>
      </c>
      <c r="U11" s="180"/>
    </row>
    <row r="12" spans="1:21" ht="13.8" x14ac:dyDescent="0.3">
      <c r="A12" s="175">
        <f t="shared" si="10"/>
        <v>8</v>
      </c>
      <c r="B12" s="182"/>
      <c r="C12" s="177"/>
      <c r="D12" s="177"/>
      <c r="E12" s="178"/>
      <c r="F12" s="179"/>
      <c r="G12" s="173">
        <f t="shared" si="0"/>
        <v>0</v>
      </c>
      <c r="H12" s="178"/>
      <c r="I12" s="173">
        <f t="shared" si="1"/>
        <v>0</v>
      </c>
      <c r="J12" s="173">
        <f t="shared" si="2"/>
        <v>0</v>
      </c>
      <c r="K12" s="173">
        <f t="shared" si="3"/>
        <v>0</v>
      </c>
      <c r="L12" s="179"/>
      <c r="M12" s="173">
        <f t="shared" si="4"/>
        <v>0</v>
      </c>
      <c r="N12" s="173">
        <f t="shared" si="5"/>
        <v>0</v>
      </c>
      <c r="O12" s="173">
        <f t="shared" si="6"/>
        <v>0</v>
      </c>
      <c r="P12" s="173">
        <f t="shared" si="7"/>
        <v>0</v>
      </c>
      <c r="Q12" s="214"/>
      <c r="R12" s="214"/>
      <c r="S12" s="214">
        <f t="shared" si="8"/>
        <v>0</v>
      </c>
      <c r="T12" s="214">
        <f t="shared" si="9"/>
        <v>0</v>
      </c>
      <c r="U12" s="180"/>
    </row>
    <row r="13" spans="1:21" ht="13.8" x14ac:dyDescent="0.3">
      <c r="A13" s="175">
        <f t="shared" si="10"/>
        <v>9</v>
      </c>
      <c r="B13" s="182"/>
      <c r="C13" s="177"/>
      <c r="D13" s="177"/>
      <c r="E13" s="178"/>
      <c r="F13" s="179"/>
      <c r="G13" s="173">
        <f t="shared" si="0"/>
        <v>0</v>
      </c>
      <c r="H13" s="178"/>
      <c r="I13" s="173">
        <f t="shared" si="1"/>
        <v>0</v>
      </c>
      <c r="J13" s="173">
        <f t="shared" si="2"/>
        <v>0</v>
      </c>
      <c r="K13" s="173">
        <f t="shared" si="3"/>
        <v>0</v>
      </c>
      <c r="L13" s="179"/>
      <c r="M13" s="173">
        <f t="shared" si="4"/>
        <v>0</v>
      </c>
      <c r="N13" s="173">
        <f t="shared" si="5"/>
        <v>0</v>
      </c>
      <c r="O13" s="173">
        <f t="shared" si="6"/>
        <v>0</v>
      </c>
      <c r="P13" s="173">
        <f t="shared" si="7"/>
        <v>0</v>
      </c>
      <c r="Q13" s="214" t="s">
        <v>158</v>
      </c>
      <c r="R13" s="214"/>
      <c r="S13" s="214">
        <f t="shared" si="8"/>
        <v>0</v>
      </c>
      <c r="T13" s="214">
        <f t="shared" si="9"/>
        <v>0</v>
      </c>
      <c r="U13" s="180" t="s">
        <v>158</v>
      </c>
    </row>
    <row r="14" spans="1:21" ht="13.8" x14ac:dyDescent="0.3">
      <c r="A14" s="175">
        <f t="shared" si="10"/>
        <v>10</v>
      </c>
      <c r="B14" s="182"/>
      <c r="C14" s="177"/>
      <c r="D14" s="177"/>
      <c r="E14" s="178"/>
      <c r="F14" s="179"/>
      <c r="G14" s="173">
        <f t="shared" si="0"/>
        <v>0</v>
      </c>
      <c r="H14" s="178"/>
      <c r="I14" s="173">
        <f t="shared" si="1"/>
        <v>0</v>
      </c>
      <c r="J14" s="173">
        <f t="shared" si="2"/>
        <v>0</v>
      </c>
      <c r="K14" s="173">
        <f t="shared" si="3"/>
        <v>0</v>
      </c>
      <c r="L14" s="179"/>
      <c r="M14" s="173">
        <f t="shared" si="4"/>
        <v>0</v>
      </c>
      <c r="N14" s="173">
        <f t="shared" si="5"/>
        <v>0</v>
      </c>
      <c r="O14" s="173">
        <f t="shared" si="6"/>
        <v>0</v>
      </c>
      <c r="P14" s="173">
        <f t="shared" si="7"/>
        <v>0</v>
      </c>
      <c r="Q14" s="214"/>
      <c r="R14" s="214"/>
      <c r="S14" s="214">
        <f t="shared" si="8"/>
        <v>0</v>
      </c>
      <c r="T14" s="214">
        <f t="shared" si="9"/>
        <v>0</v>
      </c>
      <c r="U14" s="180"/>
    </row>
    <row r="15" spans="1:21" ht="13.8" x14ac:dyDescent="0.3">
      <c r="A15" s="175">
        <f t="shared" si="10"/>
        <v>11</v>
      </c>
      <c r="B15" s="182"/>
      <c r="C15" s="177"/>
      <c r="D15" s="177"/>
      <c r="E15" s="178"/>
      <c r="F15" s="179"/>
      <c r="G15" s="173">
        <f t="shared" si="0"/>
        <v>0</v>
      </c>
      <c r="H15" s="178"/>
      <c r="I15" s="173">
        <f t="shared" si="1"/>
        <v>0</v>
      </c>
      <c r="J15" s="173">
        <f t="shared" si="2"/>
        <v>0</v>
      </c>
      <c r="K15" s="173">
        <f t="shared" si="3"/>
        <v>0</v>
      </c>
      <c r="L15" s="179"/>
      <c r="M15" s="173">
        <f t="shared" si="4"/>
        <v>0</v>
      </c>
      <c r="N15" s="173">
        <f t="shared" si="5"/>
        <v>0</v>
      </c>
      <c r="O15" s="173">
        <f t="shared" si="6"/>
        <v>0</v>
      </c>
      <c r="P15" s="173">
        <f t="shared" si="7"/>
        <v>0</v>
      </c>
      <c r="Q15" s="214"/>
      <c r="R15" s="214"/>
      <c r="S15" s="214">
        <f t="shared" si="8"/>
        <v>0</v>
      </c>
      <c r="T15" s="214">
        <f t="shared" si="9"/>
        <v>0</v>
      </c>
      <c r="U15" s="180"/>
    </row>
    <row r="16" spans="1:21" ht="13.8" x14ac:dyDescent="0.3">
      <c r="A16" s="175">
        <f t="shared" si="10"/>
        <v>12</v>
      </c>
      <c r="B16" s="183"/>
      <c r="C16" s="184"/>
      <c r="D16" s="177"/>
      <c r="E16" s="178"/>
      <c r="F16" s="179"/>
      <c r="G16" s="173">
        <f t="shared" si="0"/>
        <v>0</v>
      </c>
      <c r="H16" s="178"/>
      <c r="I16" s="173">
        <f t="shared" si="1"/>
        <v>0</v>
      </c>
      <c r="J16" s="173">
        <f t="shared" si="2"/>
        <v>0</v>
      </c>
      <c r="K16" s="173">
        <f t="shared" si="3"/>
        <v>0</v>
      </c>
      <c r="L16" s="179"/>
      <c r="M16" s="173">
        <f t="shared" si="4"/>
        <v>0</v>
      </c>
      <c r="N16" s="173">
        <f t="shared" si="5"/>
        <v>0</v>
      </c>
      <c r="O16" s="173">
        <f t="shared" si="6"/>
        <v>0</v>
      </c>
      <c r="P16" s="173">
        <f t="shared" si="7"/>
        <v>0</v>
      </c>
      <c r="Q16" s="214"/>
      <c r="R16" s="214"/>
      <c r="S16" s="214">
        <f t="shared" si="8"/>
        <v>0</v>
      </c>
      <c r="T16" s="214">
        <f t="shared" si="9"/>
        <v>0</v>
      </c>
      <c r="U16" s="180"/>
    </row>
    <row r="17" spans="1:23" ht="13.8" x14ac:dyDescent="0.3">
      <c r="A17" s="175">
        <f t="shared" si="10"/>
        <v>13</v>
      </c>
      <c r="B17" s="182"/>
      <c r="C17" s="177"/>
      <c r="D17" s="177"/>
      <c r="E17" s="178"/>
      <c r="F17" s="179"/>
      <c r="G17" s="173">
        <f t="shared" si="0"/>
        <v>0</v>
      </c>
      <c r="H17" s="178"/>
      <c r="I17" s="173">
        <f t="shared" si="1"/>
        <v>0</v>
      </c>
      <c r="J17" s="173">
        <f t="shared" si="2"/>
        <v>0</v>
      </c>
      <c r="K17" s="173">
        <f t="shared" si="3"/>
        <v>0</v>
      </c>
      <c r="L17" s="179"/>
      <c r="M17" s="173">
        <f t="shared" si="4"/>
        <v>0</v>
      </c>
      <c r="N17" s="173">
        <f t="shared" si="5"/>
        <v>0</v>
      </c>
      <c r="O17" s="173">
        <f t="shared" si="6"/>
        <v>0</v>
      </c>
      <c r="P17" s="173">
        <f t="shared" si="7"/>
        <v>0</v>
      </c>
      <c r="Q17" s="214"/>
      <c r="R17" s="214"/>
      <c r="S17" s="214">
        <f t="shared" si="8"/>
        <v>0</v>
      </c>
      <c r="T17" s="214">
        <f t="shared" si="9"/>
        <v>0</v>
      </c>
      <c r="U17" s="180"/>
    </row>
    <row r="18" spans="1:23" ht="13.8" x14ac:dyDescent="0.3">
      <c r="A18" s="175">
        <f t="shared" si="10"/>
        <v>14</v>
      </c>
      <c r="B18" s="182"/>
      <c r="C18" s="177"/>
      <c r="D18" s="177"/>
      <c r="E18" s="178"/>
      <c r="F18" s="179"/>
      <c r="G18" s="173">
        <f t="shared" si="0"/>
        <v>0</v>
      </c>
      <c r="H18" s="178"/>
      <c r="I18" s="173">
        <f t="shared" si="1"/>
        <v>0</v>
      </c>
      <c r="J18" s="173">
        <f t="shared" si="2"/>
        <v>0</v>
      </c>
      <c r="K18" s="173">
        <f t="shared" si="3"/>
        <v>0</v>
      </c>
      <c r="L18" s="179"/>
      <c r="M18" s="173">
        <f t="shared" si="4"/>
        <v>0</v>
      </c>
      <c r="N18" s="173">
        <f t="shared" si="5"/>
        <v>0</v>
      </c>
      <c r="O18" s="173">
        <f t="shared" si="6"/>
        <v>0</v>
      </c>
      <c r="P18" s="173">
        <f t="shared" si="7"/>
        <v>0</v>
      </c>
      <c r="Q18" s="214"/>
      <c r="R18" s="214"/>
      <c r="S18" s="214">
        <f t="shared" si="8"/>
        <v>0</v>
      </c>
      <c r="T18" s="214">
        <f t="shared" si="9"/>
        <v>0</v>
      </c>
      <c r="U18" s="185"/>
      <c r="V18" s="186"/>
      <c r="W18" s="187"/>
    </row>
    <row r="19" spans="1:23" ht="13.8" x14ac:dyDescent="0.3">
      <c r="A19" s="175">
        <v>15</v>
      </c>
      <c r="B19" s="182"/>
      <c r="C19" s="177"/>
      <c r="D19" s="177"/>
      <c r="E19" s="178"/>
      <c r="F19" s="179"/>
      <c r="G19" s="173">
        <f t="shared" si="0"/>
        <v>0</v>
      </c>
      <c r="H19" s="178"/>
      <c r="I19" s="173">
        <f t="shared" si="1"/>
        <v>0</v>
      </c>
      <c r="J19" s="173">
        <f t="shared" si="2"/>
        <v>0</v>
      </c>
      <c r="K19" s="173">
        <f t="shared" si="3"/>
        <v>0</v>
      </c>
      <c r="L19" s="179"/>
      <c r="M19" s="173">
        <f t="shared" si="4"/>
        <v>0</v>
      </c>
      <c r="N19" s="173">
        <f t="shared" si="5"/>
        <v>0</v>
      </c>
      <c r="O19" s="173">
        <f t="shared" si="6"/>
        <v>0</v>
      </c>
      <c r="P19" s="173">
        <f t="shared" si="7"/>
        <v>0</v>
      </c>
      <c r="Q19" s="214"/>
      <c r="R19" s="214"/>
      <c r="S19" s="214">
        <f t="shared" si="8"/>
        <v>0</v>
      </c>
      <c r="T19" s="214">
        <f t="shared" si="9"/>
        <v>0</v>
      </c>
      <c r="U19" s="185"/>
      <c r="V19" s="186"/>
      <c r="W19" s="187"/>
    </row>
    <row r="20" spans="1:23" ht="13.8" x14ac:dyDescent="0.3">
      <c r="A20" s="175">
        <f t="shared" si="10"/>
        <v>16</v>
      </c>
      <c r="B20" s="182"/>
      <c r="C20" s="177"/>
      <c r="D20" s="177"/>
      <c r="E20" s="178"/>
      <c r="F20" s="179"/>
      <c r="G20" s="173">
        <f t="shared" si="0"/>
        <v>0</v>
      </c>
      <c r="H20" s="178"/>
      <c r="I20" s="173">
        <f t="shared" si="1"/>
        <v>0</v>
      </c>
      <c r="J20" s="173">
        <f t="shared" si="2"/>
        <v>0</v>
      </c>
      <c r="K20" s="173">
        <f t="shared" si="3"/>
        <v>0</v>
      </c>
      <c r="L20" s="179"/>
      <c r="M20" s="173">
        <f t="shared" si="4"/>
        <v>0</v>
      </c>
      <c r="N20" s="173">
        <f t="shared" si="5"/>
        <v>0</v>
      </c>
      <c r="O20" s="173">
        <f t="shared" si="6"/>
        <v>0</v>
      </c>
      <c r="P20" s="173">
        <f t="shared" si="7"/>
        <v>0</v>
      </c>
      <c r="Q20" s="214"/>
      <c r="R20" s="214"/>
      <c r="S20" s="214">
        <f t="shared" si="8"/>
        <v>0</v>
      </c>
      <c r="T20" s="214">
        <f t="shared" si="9"/>
        <v>0</v>
      </c>
      <c r="U20" s="180"/>
    </row>
    <row r="21" spans="1:23" ht="13.8" x14ac:dyDescent="0.3">
      <c r="A21" s="175">
        <f t="shared" si="10"/>
        <v>17</v>
      </c>
      <c r="B21" s="182"/>
      <c r="C21" s="177"/>
      <c r="D21" s="177"/>
      <c r="E21" s="178"/>
      <c r="F21" s="179">
        <v>650</v>
      </c>
      <c r="G21" s="173">
        <f t="shared" si="0"/>
        <v>325</v>
      </c>
      <c r="H21" s="178"/>
      <c r="I21" s="173">
        <f t="shared" si="1"/>
        <v>325</v>
      </c>
      <c r="J21" s="173">
        <f t="shared" si="2"/>
        <v>31.6875</v>
      </c>
      <c r="K21" s="173">
        <f t="shared" si="3"/>
        <v>4.0625</v>
      </c>
      <c r="L21" s="179"/>
      <c r="M21" s="173">
        <f t="shared" si="4"/>
        <v>97.5</v>
      </c>
      <c r="N21" s="173">
        <f t="shared" si="5"/>
        <v>65</v>
      </c>
      <c r="O21" s="173">
        <f t="shared" si="6"/>
        <v>162.5</v>
      </c>
      <c r="P21" s="173">
        <f t="shared" si="7"/>
        <v>126.75</v>
      </c>
      <c r="Q21" s="214" t="s">
        <v>159</v>
      </c>
      <c r="R21" s="214"/>
      <c r="S21" s="214">
        <f t="shared" si="8"/>
        <v>0</v>
      </c>
      <c r="T21" s="214">
        <f t="shared" si="9"/>
        <v>0</v>
      </c>
      <c r="U21" s="180"/>
    </row>
    <row r="22" spans="1:23" ht="13.8" x14ac:dyDescent="0.3">
      <c r="A22" s="175">
        <f t="shared" si="10"/>
        <v>18</v>
      </c>
      <c r="B22" s="182"/>
      <c r="C22" s="177"/>
      <c r="D22" s="177"/>
      <c r="E22" s="178"/>
      <c r="F22" s="179"/>
      <c r="G22" s="173">
        <f t="shared" si="0"/>
        <v>0</v>
      </c>
      <c r="H22" s="178"/>
      <c r="I22" s="173">
        <f t="shared" si="1"/>
        <v>0</v>
      </c>
      <c r="J22" s="173">
        <f t="shared" si="2"/>
        <v>0</v>
      </c>
      <c r="K22" s="173">
        <f t="shared" si="3"/>
        <v>0</v>
      </c>
      <c r="L22" s="179"/>
      <c r="M22" s="173">
        <f t="shared" si="4"/>
        <v>0</v>
      </c>
      <c r="N22" s="173">
        <f t="shared" si="5"/>
        <v>0</v>
      </c>
      <c r="O22" s="173">
        <f t="shared" si="6"/>
        <v>0</v>
      </c>
      <c r="P22" s="173">
        <f t="shared" si="7"/>
        <v>0</v>
      </c>
      <c r="Q22" s="214"/>
      <c r="R22" s="214"/>
      <c r="S22" s="214">
        <f t="shared" si="8"/>
        <v>0</v>
      </c>
      <c r="T22" s="214">
        <f t="shared" si="9"/>
        <v>0</v>
      </c>
      <c r="U22" s="180" t="s">
        <v>159</v>
      </c>
    </row>
    <row r="23" spans="1:23" ht="13.8" x14ac:dyDescent="0.3">
      <c r="A23" s="211" t="s">
        <v>160</v>
      </c>
      <c r="B23" s="182"/>
      <c r="C23" s="177"/>
      <c r="D23" s="177"/>
      <c r="E23" s="178"/>
      <c r="F23" s="179">
        <f>SUM(F5:F22)</f>
        <v>1900</v>
      </c>
      <c r="G23" s="179">
        <f t="shared" ref="G23:P23" si="11">SUM(G5:G22)</f>
        <v>950</v>
      </c>
      <c r="H23" s="179">
        <f t="shared" si="11"/>
        <v>300</v>
      </c>
      <c r="I23" s="179">
        <f t="shared" si="11"/>
        <v>1250</v>
      </c>
      <c r="J23" s="179">
        <f t="shared" si="11"/>
        <v>121.875</v>
      </c>
      <c r="K23" s="179">
        <f t="shared" si="11"/>
        <v>15.625</v>
      </c>
      <c r="L23" s="179">
        <f t="shared" si="11"/>
        <v>0</v>
      </c>
      <c r="M23" s="179">
        <f t="shared" si="11"/>
        <v>375</v>
      </c>
      <c r="N23" s="179">
        <f t="shared" si="11"/>
        <v>250</v>
      </c>
      <c r="O23" s="179">
        <f t="shared" si="11"/>
        <v>625</v>
      </c>
      <c r="P23" s="179">
        <f t="shared" si="11"/>
        <v>487.5</v>
      </c>
      <c r="Q23" s="179"/>
      <c r="R23" s="179">
        <f>SUM(R5:R22)</f>
        <v>250</v>
      </c>
      <c r="S23" s="179">
        <f>SUM(S5:S22)</f>
        <v>18.125</v>
      </c>
      <c r="T23" s="179">
        <f>SUM(T5:T22)</f>
        <v>231.875</v>
      </c>
      <c r="U23" s="212"/>
    </row>
    <row r="24" spans="1:23" ht="13.8" x14ac:dyDescent="0.3">
      <c r="A24" s="205"/>
      <c r="B24" s="206"/>
      <c r="C24" s="207"/>
      <c r="D24" s="207"/>
      <c r="E24" s="208"/>
      <c r="F24" s="209"/>
      <c r="G24" s="209"/>
      <c r="H24" s="208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10"/>
    </row>
    <row r="25" spans="1:23" ht="14.4" x14ac:dyDescent="0.3">
      <c r="A25" s="188"/>
      <c r="B25" s="189" t="s">
        <v>138</v>
      </c>
      <c r="C25" s="190"/>
      <c r="E25" s="191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3"/>
    </row>
    <row r="26" spans="1:23" ht="14.4" x14ac:dyDescent="0.3">
      <c r="A26" s="188"/>
      <c r="B26" s="194" t="s">
        <v>139</v>
      </c>
      <c r="C26" s="195">
        <f>G23/11</f>
        <v>86.36363636363636</v>
      </c>
      <c r="E26" s="191"/>
      <c r="U26" s="193"/>
    </row>
    <row r="27" spans="1:23" ht="14.4" x14ac:dyDescent="0.3">
      <c r="A27" s="188"/>
      <c r="B27" s="194" t="s">
        <v>140</v>
      </c>
      <c r="C27" s="195">
        <f>G23/12</f>
        <v>79.166666666666671</v>
      </c>
      <c r="E27" s="191"/>
      <c r="U27" s="193"/>
    </row>
    <row r="28" spans="1:23" ht="14.4" x14ac:dyDescent="0.3">
      <c r="A28" s="188"/>
      <c r="B28" s="194" t="s">
        <v>141</v>
      </c>
      <c r="C28" s="195">
        <f>G23*1.923%</f>
        <v>18.2685</v>
      </c>
      <c r="E28" s="191"/>
      <c r="U28" s="193"/>
    </row>
    <row r="29" spans="1:23" ht="14.4" x14ac:dyDescent="0.3">
      <c r="A29" s="188"/>
      <c r="B29" s="194" t="s">
        <v>165</v>
      </c>
      <c r="C29" s="195">
        <f>G23*6.53846%</f>
        <v>62.115369999999999</v>
      </c>
      <c r="E29" s="191"/>
      <c r="U29" s="193"/>
    </row>
    <row r="30" spans="1:23" x14ac:dyDescent="0.25">
      <c r="A30" s="188"/>
      <c r="B30" s="196" t="s">
        <v>142</v>
      </c>
      <c r="C30" s="216">
        <f>SUM(C26:C29)</f>
        <v>245.914173030303</v>
      </c>
      <c r="U30" s="193"/>
    </row>
    <row r="31" spans="1:23" x14ac:dyDescent="0.25">
      <c r="A31" s="188"/>
      <c r="U31" s="193"/>
    </row>
    <row r="32" spans="1:23" ht="14.4" x14ac:dyDescent="0.3">
      <c r="A32" s="188"/>
      <c r="B32" s="189" t="s">
        <v>143</v>
      </c>
      <c r="C32" s="198" t="s">
        <v>144</v>
      </c>
      <c r="D32" s="198" t="s">
        <v>145</v>
      </c>
      <c r="E32" s="198" t="s">
        <v>64</v>
      </c>
      <c r="G32" s="190"/>
      <c r="H32" s="199"/>
      <c r="U32" s="193"/>
    </row>
    <row r="33" spans="1:21" ht="14.4" x14ac:dyDescent="0.3">
      <c r="A33" s="188"/>
      <c r="B33" s="194" t="s">
        <v>146</v>
      </c>
      <c r="C33" s="195">
        <f>G23*13.25%</f>
        <v>125.875</v>
      </c>
      <c r="D33" s="195">
        <f>G23*9.75%</f>
        <v>92.625</v>
      </c>
      <c r="E33" s="195">
        <f>C33-D33</f>
        <v>33.25</v>
      </c>
      <c r="G33" s="190"/>
      <c r="U33" s="193"/>
    </row>
    <row r="34" spans="1:21" ht="14.4" x14ac:dyDescent="0.3">
      <c r="A34" s="188"/>
      <c r="B34" s="194" t="s">
        <v>147</v>
      </c>
      <c r="C34" s="195">
        <f>G23*1.5%</f>
        <v>14.25</v>
      </c>
      <c r="D34" s="195">
        <f>G23*1.25%</f>
        <v>11.875</v>
      </c>
      <c r="E34" s="195">
        <f>C34+D34</f>
        <v>26.125</v>
      </c>
      <c r="G34" s="190"/>
      <c r="U34" s="193"/>
    </row>
    <row r="35" spans="1:21" ht="14.4" x14ac:dyDescent="0.3">
      <c r="A35" s="217">
        <v>9.7999999999999997E-5</v>
      </c>
      <c r="B35" s="194" t="s">
        <v>8</v>
      </c>
      <c r="C35" s="195">
        <f>G23*A35</f>
        <v>9.3100000000000002E-2</v>
      </c>
      <c r="D35" s="218">
        <v>0</v>
      </c>
      <c r="E35" s="195">
        <f>C35-D35</f>
        <v>9.3100000000000002E-2</v>
      </c>
      <c r="G35" s="190"/>
      <c r="U35" s="193"/>
    </row>
    <row r="36" spans="1:21" ht="14.4" x14ac:dyDescent="0.3">
      <c r="A36" s="188"/>
      <c r="B36" s="194" t="s">
        <v>140</v>
      </c>
      <c r="C36" s="195">
        <f>T23*10.75%</f>
        <v>24.926562499999999</v>
      </c>
      <c r="D36" s="195">
        <f>T23*7.25%</f>
        <v>16.810937499999998</v>
      </c>
      <c r="E36" s="195">
        <f>C36+D36</f>
        <v>41.737499999999997</v>
      </c>
      <c r="G36" s="190"/>
      <c r="U36" s="193"/>
    </row>
    <row r="37" spans="1:21" x14ac:dyDescent="0.25">
      <c r="A37" s="188"/>
      <c r="B37" s="196" t="s">
        <v>148</v>
      </c>
      <c r="C37" s="197">
        <f>SUM(C33:C36)</f>
        <v>165.14466249999998</v>
      </c>
      <c r="D37" s="197">
        <f>SUM(D33:D36)</f>
        <v>121.31093749999999</v>
      </c>
      <c r="E37" s="197">
        <f>SUM(E33:E36)</f>
        <v>101.2056</v>
      </c>
      <c r="F37" s="200"/>
      <c r="U37" s="193"/>
    </row>
    <row r="38" spans="1:21" ht="13.8" thickBot="1" x14ac:dyDescent="0.3">
      <c r="A38" s="457"/>
      <c r="B38" s="458"/>
      <c r="C38" s="458"/>
      <c r="D38" s="458"/>
      <c r="E38" s="458"/>
      <c r="F38" s="458"/>
      <c r="G38" s="458"/>
      <c r="H38" s="458"/>
      <c r="I38" s="458"/>
      <c r="J38" s="458"/>
      <c r="K38" s="458"/>
      <c r="L38" s="458"/>
      <c r="M38" s="458"/>
      <c r="N38" s="458"/>
      <c r="O38" s="458"/>
      <c r="P38" s="458"/>
      <c r="Q38" s="458"/>
      <c r="R38" s="458"/>
      <c r="S38" s="458"/>
      <c r="T38" s="458"/>
      <c r="U38" s="459"/>
    </row>
    <row r="39" spans="1:21" x14ac:dyDescent="0.25">
      <c r="B39" s="189"/>
      <c r="C39" s="201"/>
      <c r="D39" s="201"/>
      <c r="E39" s="201"/>
      <c r="F39" s="200"/>
    </row>
  </sheetData>
  <mergeCells count="4">
    <mergeCell ref="A1:U1"/>
    <mergeCell ref="A2:U2"/>
    <mergeCell ref="A3:U3"/>
    <mergeCell ref="A38:U38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05F87AB796444890D7CC63187EA2D7" ma:contentTypeVersion="3" ma:contentTypeDescription="Crear nuevo documento." ma:contentTypeScope="" ma:versionID="5c3cb745ed12acd39830f863be0dee3e">
  <xsd:schema xmlns:xsd="http://www.w3.org/2001/XMLSchema" xmlns:xs="http://www.w3.org/2001/XMLSchema" xmlns:p="http://schemas.microsoft.com/office/2006/metadata/properties" xmlns:ns2="847325f3-1a0f-443f-9eed-b1a75f54b5d6" targetNamespace="http://schemas.microsoft.com/office/2006/metadata/properties" ma:root="true" ma:fieldsID="5e786b6a62d24e69984d85ce553a972b" ns2:_="">
    <xsd:import namespace="847325f3-1a0f-443f-9eed-b1a75f54b5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325f3-1a0f-443f-9eed-b1a75f54b5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E399A9-E7D4-497E-9420-CD4D356AEB3F}"/>
</file>

<file path=customXml/itemProps2.xml><?xml version="1.0" encoding="utf-8"?>
<ds:datastoreItem xmlns:ds="http://schemas.openxmlformats.org/officeDocument/2006/customXml" ds:itemID="{D4FBE475-8F11-4EFE-9343-213A62574813}"/>
</file>

<file path=customXml/itemProps3.xml><?xml version="1.0" encoding="utf-8"?>
<ds:datastoreItem xmlns:ds="http://schemas.openxmlformats.org/officeDocument/2006/customXml" ds:itemID="{989F497F-A6BB-4B8A-BD24-2473DD392E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CALCULOS SALARIALES</vt:lpstr>
      <vt:lpstr> PRESTAC. SOC.-OBRERO</vt:lpstr>
      <vt:lpstr> PRESTAC. SOC.-PATRONO</vt:lpstr>
      <vt:lpstr>ISR</vt:lpstr>
      <vt:lpstr>XIII - MES</vt:lpstr>
      <vt:lpstr>VACACIONES</vt:lpstr>
      <vt:lpstr>PLANILLA QUINCENAL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alina cardoze</cp:lastModifiedBy>
  <dcterms:created xsi:type="dcterms:W3CDTF">2020-05-14T01:29:41Z</dcterms:created>
  <dcterms:modified xsi:type="dcterms:W3CDTF">2026-07-09T16:48:20Z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0x0101006005F87AB796444890D7CC63187EA2D7</vt:lpwstr>
  </property>
</Properties>
</file>